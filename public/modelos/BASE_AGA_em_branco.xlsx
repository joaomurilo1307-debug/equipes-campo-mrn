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/>
  </bookViews>
  <sheets>
    <sheet name="LEIA-ME" sheetId="1" r:id="rId1"/>
    <sheet name="EQUIPES" sheetId="2" r:id="rId2"/>
    <sheet name="PESSOAS" sheetId="3" r:id="rId3"/>
    <sheet name="MOVIMENTAÇÕES" sheetId="4" r:id="rId4"/>
    <sheet name="VIATURAS" sheetId="5" r:id="rId5"/>
  </sheets>
  <definedNames>
    <definedName name="_xlnm._FilterDatabase" localSheetId="1" hidden="1">EQUIPES!$A$1:$N$41</definedName>
    <definedName name="_xlnm._FilterDatabase" localSheetId="2" hidden="1">PESSOAS!$A$1:$S$301</definedName>
    <definedName name="_xlnm._FilterDatabase" localSheetId="3" hidden="1">MOVIMENTAÇÕES!$A$4:$M$154</definedName>
    <definedName name="_xlnm._FilterDatabase" localSheetId="4" hidden="1">VIATURAS!$A$1:$Q$101</definedName>
    <definedName name="_xlnm.Print_Titles" localSheetId="1">EQUIPES!$1:$1</definedName>
    <definedName name="_xlnm.Print_Titles" localSheetId="2">PESSOAS!$1:$1</definedName>
    <definedName name="_xlnm.Print_Titles" localSheetId="3">MOVIMENTAÇÕES!$4:$4</definedName>
    <definedName name="_xlnm.Print_Titles" localSheetId="4">VIATURAS!$1:$1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Equipes de campo</author>
  </authors>
  <commentList>
    <comment ref="D1" authorId="0">
      <text>
        <r>
          <rPr>
            <sz val="10"/>
            <rFont val="SimSun"/>
            <charset val="134"/>
          </rPr>
          <t>Dia em que a equipe começa. A linha do tempo e o histograma do sistema se desenham a partir desta data e da próxima.</t>
        </r>
      </text>
    </comment>
    <comment ref="E1" authorId="0">
      <text>
        <r>
          <rPr>
            <sz val="10"/>
            <rFont val="SimSun"/>
            <charset val="134"/>
          </rPr>
          <t>Dia em que a equipe termina. Sem esta data o sistema não sabe quando as pessoas e as viaturas ficam livres.</t>
        </r>
      </text>
    </comment>
  </commentList>
</comments>
</file>

<file path=xl/comments2.xml><?xml version="1.0" encoding="utf-8"?>
<comments xmlns="http://schemas.openxmlformats.org/spreadsheetml/2006/main">
  <authors>
    <author>Equipes de campo</author>
  </authors>
  <commentList>
    <comment ref="K4" authorId="0">
      <text>
        <r>
          <rPr>
            <sz val="10"/>
            <rFont val="SimSun"/>
            <charset val="134"/>
          </rPr>
          <t>Dia da movimentação. Em branco = hoje. O sistema aplica na hora: data futura não é aplicada (reenvie nesse dia).</t>
        </r>
      </text>
    </comment>
  </commentList>
</comments>
</file>

<file path=xl/comments3.xml><?xml version="1.0" encoding="utf-8"?>
<comments xmlns="http://schemas.openxmlformats.org/spreadsheetml/2006/main">
  <authors>
    <author>Equipes de campo</author>
  </authors>
  <commentList>
    <comment ref="I1" authorId="0">
      <text>
        <r>
          <rPr>
            <sz val="10"/>
            <rFont val="SimSun"/>
            <charset val="134"/>
          </rPr>
          <t>Dia em que a viatura passa a servir a esta equipe.</t>
        </r>
      </text>
    </comment>
    <comment ref="J1" authorId="0">
      <text>
        <r>
          <rPr>
            <sz val="10"/>
            <rFont val="SimSun"/>
            <charset val="134"/>
          </rPr>
          <t>Dia em que a viatura deixa a equipe (a troca por outra, por exemplo).</t>
        </r>
      </text>
    </comment>
    <comment ref="M1" authorId="0">
      <text>
        <r>
          <rPr>
            <sz val="10"/>
            <rFont val="SimSun"/>
            <charset val="134"/>
          </rPr>
          <t>O Excel compara o início e o fim da viatura na equipe com o início e o fim da equipe (aba EQUIPES) e avisa quando não batem.</t>
        </r>
      </text>
    </comment>
    <comment ref="O1" authorId="0">
      <text>
        <r>
          <rPr>
            <sz val="10"/>
            <rFont val="SimSun"/>
            <charset val="134"/>
          </rPr>
          <t>Nome da viatura que vai ficar no lugar desta. Escreva a nova também em outra linha, com Status = Prevista, se ela ainda não chegou.</t>
        </r>
      </text>
    </comment>
  </commentList>
</comments>
</file>

<file path=xl/sharedStrings.xml><?xml version="1.0" encoding="utf-8"?>
<sst xmlns="http://schemas.openxmlformats.org/spreadsheetml/2006/main" count="523" uniqueCount="67">
  <si>
    <t>Base das equipes de campo · AGA</t>
  </si>
  <si>
    <t>Em branco, para preencher · 16/10/2026</t>
  </si>
  <si>
    <t>EQUIPES</t>
  </si>
  <si>
    <t>Liste as equipes, o contrato de cada uma e o início e o fim.</t>
  </si>
  <si>
    <t>PESSOAS</t>
  </si>
  <si>
    <t>Liste as pessoas de cada equipe: função, nome, viatura e status. Nome em branco = vaga aberta.</t>
  </si>
  <si>
    <t>MOVIMENTAÇÕES</t>
  </si>
  <si>
    <t>Para mover, liberar ou desmobilizar alguém: escolha a Ação na linha da pessoa.</t>
  </si>
  <si>
    <t>VIATURAS</t>
  </si>
  <si>
    <t>Placa, modelo e por quanto tempo cada viatura fica na equipe.</t>
  </si>
  <si>
    <t>ENVIAR</t>
  </si>
  <si>
    <t>Salve e envie no sistema: Base › Enviar planejamento preenchido. A primeira carga da AGA é feita pelo administrador em Base › Importar planilha.</t>
  </si>
  <si>
    <t>Amarelo</t>
  </si>
  <si>
    <t>É aqui que você escreve.</t>
  </si>
  <si>
    <t>Cinza</t>
  </si>
  <si>
    <t>O Excel preenche sozinho. Não precisa mexer.</t>
  </si>
  <si>
    <t>As colunas que não aparecem estão escondidas de propósito (são técnicas, o sistema usa). Não troque o nome das abas nem dos cabeçalhos.</t>
  </si>
  <si>
    <t>Cliente</t>
  </si>
  <si>
    <t>Contrato</t>
  </si>
  <si>
    <t>Equipe</t>
  </si>
  <si>
    <t>Início da equipe</t>
  </si>
  <si>
    <t>Fim da equipe</t>
  </si>
  <si>
    <t>Local / frente</t>
  </si>
  <si>
    <t>Gestor</t>
  </si>
  <si>
    <t>Observação</t>
  </si>
  <si>
    <t>Status</t>
  </si>
  <si>
    <t>Posições</t>
  </si>
  <si>
    <t>Com nome</t>
  </si>
  <si>
    <t>Sem nome informado</t>
  </si>
  <si>
    <t>Vagas abertas</t>
  </si>
  <si>
    <t>Viaturas</t>
  </si>
  <si>
    <t>AGA</t>
  </si>
  <si>
    <t>Profissional</t>
  </si>
  <si>
    <t>Empresa</t>
  </si>
  <si>
    <t>Função</t>
  </si>
  <si>
    <t>Nível</t>
  </si>
  <si>
    <t>Atividade</t>
  </si>
  <si>
    <t>Direção 4x4</t>
  </si>
  <si>
    <t>Viatura</t>
  </si>
  <si>
    <t>Posição</t>
  </si>
  <si>
    <t>Status: início</t>
  </si>
  <si>
    <t>Status: fim</t>
  </si>
  <si>
    <t>Previsão de entrada</t>
  </si>
  <si>
    <t>Contrato atual (outro)</t>
  </si>
  <si>
    <t>Disponível a partir de</t>
  </si>
  <si>
    <t>Destino</t>
  </si>
  <si>
    <t>Para mover, liberar ou desmobilizar alguém: na linha da pessoa, escolha a Ação (célula amarela) e, se for mover, a Equipe destino. A coluna Conferência diz se está pronto. Depois envie a planilha no sistema em Base › Enviar planejamento preenchido.</t>
  </si>
  <si>
    <t/>
  </si>
  <si>
    <t>Situação hoje</t>
  </si>
  <si>
    <t>Ação</t>
  </si>
  <si>
    <t>Equipe destino</t>
  </si>
  <si>
    <t>Novo status</t>
  </si>
  <si>
    <t>Até (férias, afastamento)</t>
  </si>
  <si>
    <t>A partir de</t>
  </si>
  <si>
    <t>Conferência</t>
  </si>
  <si>
    <t>Placa</t>
  </si>
  <si>
    <t>Modelo</t>
  </si>
  <si>
    <t>4x4</t>
  </si>
  <si>
    <t>Equipe que usa</t>
  </si>
  <si>
    <t>Início na equipe</t>
  </si>
  <si>
    <t>Fim na equipe</t>
  </si>
  <si>
    <t>Equipe: início</t>
  </si>
  <si>
    <t>Equipe: fim</t>
  </si>
  <si>
    <t>Confere com a equipe?</t>
  </si>
  <si>
    <t>Pessoas</t>
  </si>
  <si>
    <t>Será substituída por</t>
  </si>
  <si>
    <t>Troca 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</si>
</sst>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6">
    <font>
      <sz val="12"/>
      <color theme="1"/>
      <name val="Calibri"/>
      <charset val="134"/>
      <scheme val="minor"/>
    </font>
    <font>
      <b/>
      <sz val="11"/>
      <color rgb="FF3A2A00"/>
      <name val="Segoe UI"/>
      <charset val="134"/>
    </font>
    <font>
      <b/>
      <sz val="11"/>
      <color rgb="FFFFFFFF"/>
      <name val="Segoe UI"/>
      <charset val="134"/>
    </font>
    <font>
      <sz val="11"/>
      <color rgb="FF101B17"/>
      <name val="Segoe UI"/>
      <charset val="134"/>
    </font>
    <font>
      <b/>
      <sz val="22"/>
      <color rgb="FF0A3D32"/>
      <name val="Segoe UI"/>
      <charset val="134"/>
    </font>
    <font>
      <sz val="11"/>
      <color rgb="FF0A3D32"/>
      <name val="Segoe UI"/>
      <charset val="134"/>
    </font>
    <font>
      <b/>
      <sz val="11"/>
      <color rgb="FF0A3D32"/>
      <name val="Segoe UI"/>
      <charset val="134"/>
    </font>
    <font>
      <b/>
      <sz val="24"/>
      <color rgb="FF0A3D32"/>
      <name val="Segoe UI"/>
      <charset val="134"/>
    </font>
    <font>
      <sz val="12"/>
      <color rgb="FF6F7E77"/>
      <name val="Segoe UI"/>
      <charset val="134"/>
    </font>
    <font>
      <b/>
      <sz val="18"/>
      <color rgb="FFFFFFFF"/>
      <name val="Segoe UI"/>
      <charset val="134"/>
    </font>
    <font>
      <b/>
      <u/>
      <sz val="13"/>
      <color rgb="FF0A3D32"/>
      <name val="Segoe UI"/>
      <charset val="134"/>
    </font>
    <font>
      <sz val="12"/>
      <color rgb="FF101B17"/>
      <name val="Segoe UI"/>
      <charset val="134"/>
    </font>
    <font>
      <b/>
      <sz val="13"/>
      <color rgb="FF0A3D32"/>
      <name val="Segoe UI"/>
      <charset val="134"/>
    </font>
    <font>
      <b/>
      <sz val="11"/>
      <color rgb="FF3E4A45"/>
      <name val="Segoe UI"/>
      <charset val="134"/>
    </font>
    <font>
      <i/>
      <sz val="10.5"/>
      <color rgb="FF6F7E77"/>
      <name val="Segoe U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43">
    <fill>
      <patternFill patternType="none"/>
    </fill>
    <fill>
      <patternFill patternType="gray125"/>
    </fill>
    <fill>
      <patternFill patternType="solid">
        <fgColor rgb="FFE8A800"/>
        <bgColor indexed="64"/>
      </patternFill>
    </fill>
    <fill>
      <patternFill patternType="solid">
        <fgColor rgb="FF0A3D32"/>
        <bgColor indexed="64"/>
      </patternFill>
    </fill>
    <fill>
      <patternFill patternType="solid">
        <fgColor rgb="FF55645D"/>
        <bgColor indexed="64"/>
      </patternFill>
    </fill>
    <fill>
      <patternFill patternType="solid">
        <fgColor rgb="FFFFF6D6"/>
        <bgColor indexed="64"/>
      </patternFill>
    </fill>
    <fill>
      <patternFill patternType="solid">
        <fgColor rgb="FFF7F9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5EF"/>
        <bgColor indexed="64"/>
      </patternFill>
    </fill>
    <fill>
      <patternFill patternType="solid">
        <fgColor rgb="FF0A9E7F"/>
        <bgColor indexed="64"/>
      </patternFill>
    </fill>
    <fill>
      <patternFill patternType="solid">
        <fgColor rgb="FFE63329"/>
        <bgColor indexed="64"/>
      </patternFill>
    </fill>
    <fill>
      <patternFill patternType="solid">
        <fgColor rgb="FFEEF2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A9E7F"/>
      </bottom>
      <diagonal/>
    </border>
    <border>
      <left/>
      <right/>
      <top/>
      <bottom style="thin">
        <color rgb="FFE1E7E3"/>
      </bottom>
      <diagonal/>
    </border>
    <border>
      <left/>
      <right/>
      <top/>
      <bottom style="thick">
        <color rgb="FF0A9E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2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14" borderId="8" applyNumberFormat="0" applyAlignment="0" applyProtection="0">
      <alignment vertical="center"/>
    </xf>
    <xf numFmtId="0" fontId="26" fillId="14" borderId="7" applyNumberFormat="0" applyAlignment="0" applyProtection="0">
      <alignment vertical="center"/>
    </xf>
    <xf numFmtId="0" fontId="27" fillId="15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58" fontId="3" fillId="5" borderId="2" xfId="0" applyNumberFormat="1" applyFont="1" applyFill="1" applyBorder="1" applyAlignment="1">
      <alignment horizontal="center" vertical="center"/>
    </xf>
    <xf numFmtId="58" fontId="3" fillId="6" borderId="2" xfId="0" applyNumberFormat="1" applyFont="1" applyFill="1" applyBorder="1" applyAlignment="1">
      <alignment horizontal="center" vertical="center"/>
    </xf>
    <xf numFmtId="0" fontId="0" fillId="7" borderId="3" xfId="0" applyFill="1" applyBorder="1"/>
    <xf numFmtId="0" fontId="4" fillId="7" borderId="3" xfId="0" applyFont="1" applyFill="1" applyBorder="1" applyAlignment="1">
      <alignment vertical="center"/>
    </xf>
    <xf numFmtId="0" fontId="5" fillId="8" borderId="0" xfId="0" applyFont="1" applyFill="1" applyAlignment="1">
      <alignment vertical="center" wrapText="1" indent="1"/>
    </xf>
    <xf numFmtId="0" fontId="0" fillId="7" borderId="0" xfId="0" applyFill="1"/>
    <xf numFmtId="0" fontId="3" fillId="7" borderId="2" xfId="0" applyFont="1" applyFill="1" applyBorder="1" applyAlignment="1">
      <alignment horizontal="left" vertical="center"/>
    </xf>
    <xf numFmtId="58" fontId="3" fillId="7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58" fontId="3" fillId="0" borderId="2" xfId="0" applyNumberFormat="1" applyFont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9" borderId="0" xfId="0" applyFill="1"/>
    <xf numFmtId="0" fontId="9" fillId="9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vertical="center" indent="1"/>
    </xf>
    <xf numFmtId="0" fontId="11" fillId="0" borderId="2" xfId="0" applyFont="1" applyBorder="1" applyAlignment="1">
      <alignment vertical="center" wrapText="1" indent="1"/>
    </xf>
    <xf numFmtId="0" fontId="9" fillId="10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vertical="center" indent="1"/>
    </xf>
    <xf numFmtId="0" fontId="1" fillId="5" borderId="0" xfId="0" applyFont="1" applyFill="1" applyAlignment="1">
      <alignment horizontal="center" vertical="center"/>
    </xf>
    <xf numFmtId="0" fontId="11" fillId="0" borderId="0" xfId="0" applyFont="1" applyAlignment="1">
      <alignment vertical="center" indent="1"/>
    </xf>
    <xf numFmtId="0" fontId="13" fillId="11" borderId="0" xfId="0" applyFont="1" applyFill="1" applyAlignment="1">
      <alignment horizontal="center" vertical="center"/>
    </xf>
    <xf numFmtId="0" fontId="14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4">
    <dxf>
      <font>
        <b val="1"/>
        <color rgb="FFB86E00"/>
      </font>
      <fill>
        <patternFill patternType="solid">
          <bgColor rgb="FFFFEFD2"/>
        </patternFill>
      </fill>
    </dxf>
    <dxf>
      <font>
        <b val="1"/>
        <color rgb="FF3A2A00"/>
      </font>
      <fill>
        <patternFill patternType="solid">
          <bgColor rgb="FFFFE08A"/>
        </patternFill>
      </fill>
    </dxf>
    <dxf>
      <font>
        <b val="1"/>
        <color rgb="FF0E6B4B"/>
      </font>
      <fill>
        <patternFill patternType="solid">
          <bgColor rgb="FFDDF3E8"/>
        </patternFill>
      </fill>
    </dxf>
    <dxf>
      <font>
        <color rgb="FF6F7E77"/>
      </font>
      <fill>
        <patternFill patternType="solid">
          <bgColor rgb="FFEEF2EF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</xdr:row>
      <xdr:rowOff>0</xdr:rowOff>
    </xdr:from>
    <xdr:ext cx="2552700" cy="5143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762000" y="152400"/>
          <a:ext cx="2552700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2076450" cy="4191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0"/>
          <a:ext cx="207645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#'VIATURAS'!A1" TargetMode="External"/><Relationship Id="rId4" Type="http://schemas.openxmlformats.org/officeDocument/2006/relationships/hyperlink" Target="#'MOVIMENTA&#199;&#213;ES'!A1" TargetMode="External"/><Relationship Id="rId3" Type="http://schemas.openxmlformats.org/officeDocument/2006/relationships/hyperlink" Target="#'PESSOAS'!A1" TargetMode="External"/><Relationship Id="rId2" Type="http://schemas.openxmlformats.org/officeDocument/2006/relationships/hyperlink" Target="#'EQUIPES'!A1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A3D32"/>
    <pageSetUpPr fitToPage="1"/>
  </sheetPr>
  <dimension ref="B1:D17"/>
  <sheetViews>
    <sheetView showGridLines="0" tabSelected="1" workbookViewId="0">
      <selection activeCell="A1" sqref="A1"/>
    </sheetView>
  </sheetViews>
  <sheetFormatPr defaultColWidth="9" defaultRowHeight="15.5" outlineLevelCol="3"/>
  <cols>
    <col min="1" max="1" width="3" customWidth="1"/>
    <col min="2" max="2" width="7" customWidth="1"/>
    <col min="3" max="3" width="24" customWidth="1"/>
    <col min="4" max="4" width="100" customWidth="1"/>
  </cols>
  <sheetData>
    <row r="1" ht="12" customHeight="1"/>
    <row r="2" ht="54" customHeight="1"/>
    <row r="3" ht="14" customHeight="1"/>
    <row r="4" ht="42" customHeight="1" spans="2:4">
      <c r="C4" s="19" t="s">
        <v>0</v>
      </c>
    </row>
    <row r="5" ht="24" customHeight="1" spans="2:4">
      <c r="C5" s="20" t="s">
        <v>1</v>
      </c>
    </row>
    <row r="6" ht="4" customHeight="1" spans="2:4">
      <c r="B6" s="21"/>
      <c r="C6" s="21"/>
      <c r="D6" s="21"/>
    </row>
    <row r="7" ht="22" customHeight="1"/>
    <row r="8" ht="46" customHeight="1" spans="2:4">
      <c r="B8" s="22">
        <v>1</v>
      </c>
      <c r="C8" s="23" t="s">
        <v>2</v>
      </c>
      <c r="D8" s="24" t="s">
        <v>3</v>
      </c>
    </row>
    <row r="9" ht="46" customHeight="1" spans="2:4">
      <c r="B9" s="22">
        <v>2</v>
      </c>
      <c r="C9" s="23" t="s">
        <v>4</v>
      </c>
      <c r="D9" s="24" t="s">
        <v>5</v>
      </c>
    </row>
    <row r="10" ht="46" customHeight="1" spans="2:4">
      <c r="B10" s="25">
        <v>3</v>
      </c>
      <c r="C10" s="23" t="s">
        <v>6</v>
      </c>
      <c r="D10" s="24" t="s">
        <v>7</v>
      </c>
    </row>
    <row r="11" ht="46" customHeight="1" spans="2:4">
      <c r="B11" s="22">
        <v>4</v>
      </c>
      <c r="C11" s="23" t="s">
        <v>8</v>
      </c>
      <c r="D11" s="24" t="s">
        <v>9</v>
      </c>
    </row>
    <row r="12" ht="46" customHeight="1" spans="2:4">
      <c r="B12" s="22">
        <v>5</v>
      </c>
      <c r="C12" s="26" t="s">
        <v>10</v>
      </c>
      <c r="D12" s="24" t="s">
        <v>11</v>
      </c>
    </row>
    <row r="13" ht="18" customHeight="1"/>
    <row r="14" ht="26" customHeight="1" spans="2:4">
      <c r="C14" s="27" t="s">
        <v>12</v>
      </c>
      <c r="D14" s="28" t="s">
        <v>13</v>
      </c>
    </row>
    <row r="15" ht="26" customHeight="1" spans="2:4">
      <c r="C15" s="29" t="s">
        <v>14</v>
      </c>
      <c r="D15" s="28" t="s">
        <v>15</v>
      </c>
    </row>
    <row r="16" ht="18" customHeight="1"/>
    <row r="17" ht="30" customHeight="1" spans="3:3">
      <c r="C17" s="30" t="s">
        <v>16</v>
      </c>
    </row>
  </sheetData>
  <mergeCells count="1">
    <mergeCell ref="C17:D17"/>
  </mergeCells>
  <hyperlinks>
    <hyperlink ref="C8" r:id="rId2" display="EQUIPES"/>
    <hyperlink ref="C9" r:id="rId3" display="PESSOAS"/>
    <hyperlink ref="C10" r:id="rId4" display="MOVIMENTAÇÕES"/>
    <hyperlink ref="C11" r:id="rId5" display="VIATURAS"/>
  </hyperlinks>
  <pageMargins left="0.75" right="0.75" top="1" bottom="1" header="0.5" footer="0.5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77A62"/>
    <pageSetUpPr fitToPage="1"/>
  </sheetPr>
  <dimension ref="A1:N41"/>
  <sheetViews>
    <sheetView showGridLines="0" zoomScale="95" zoomScaleNormal="95" workbookViewId="0">
      <pane ySplit="1" topLeftCell="A2" activePane="bottomLeft" state="frozen"/>
      <selection/>
      <selection pane="bottomLeft" activeCell="A1" sqref="A1"/>
    </sheetView>
  </sheetViews>
  <sheetFormatPr defaultColWidth="9" defaultRowHeight="15.5"/>
  <cols>
    <col min="1" max="1" width="2" hidden="1" customWidth="1"/>
    <col min="2" max="2" width="14" customWidth="1"/>
    <col min="3" max="3" width="46" customWidth="1"/>
    <col min="4" max="5" width="16" customWidth="1"/>
    <col min="6" max="6" width="2" hidden="1" customWidth="1"/>
    <col min="7" max="7" width="18" customWidth="1"/>
    <col min="8" max="9" width="2" hidden="1" customWidth="1"/>
    <col min="10" max="10" width="11" customWidth="1"/>
    <col min="11" max="12" width="2" hidden="1" customWidth="1"/>
    <col min="13" max="13" width="13" customWidth="1"/>
    <col min="14" max="14" width="11" customWidth="1"/>
  </cols>
  <sheetData>
    <row r="1" ht="40" customHeight="1" spans="1:14">
      <c r="A1" s="2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2" t="s">
        <v>22</v>
      </c>
      <c r="G1" s="1" t="s">
        <v>23</v>
      </c>
      <c r="H1" s="2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</row>
    <row r="2" ht="24" customHeight="1" spans="1:14">
      <c r="A2" s="5" t="s">
        <v>31</v>
      </c>
      <c r="B2" s="4"/>
      <c r="C2" s="17"/>
      <c r="D2" s="7"/>
      <c r="E2" s="7"/>
      <c r="F2" s="4"/>
      <c r="G2" s="4"/>
      <c r="H2" s="4"/>
      <c r="I2" s="18"/>
      <c r="J2" s="18" t="str">
        <f xml:space="preserve">IF($C2="","",COUNTIFS(PESSOAS!$A$2:$A$600,$A2,PESSOAS!$C$2:$C$600,$C2,PESSOAS!$F$2:$F$600,"?*"))</f>
        <v/>
      </c>
      <c r="K2" s="18" t="str">
        <f xml:space="preserve">IF($C2="","",COUNTIFS(PESSOAS!$A$2:$A$600,$A2,PESSOAS!$C$2:$C$600,$C2,PESSOAS!$F$2:$F$600,"?*",PESSOAS!$D$2:$D$600,"?*"))</f>
        <v/>
      </c>
      <c r="L2" s="18" t="str">
        <f xml:space="preserve">IF($C2="","",COUNTIFS(PESSOAS!$A$2:$A$600,$A2,PESSOAS!$C$2:$C$600,$C2,PESSOAS!$K$2:$K$600,"Sem nome informado"))</f>
        <v/>
      </c>
      <c r="M2" s="18" t="str">
        <f t="shared" ref="M2:M41" si="0" xml:space="preserve">IF($C2="","",J2-K2-L2)</f>
        <v/>
      </c>
      <c r="N2" s="18" t="str">
        <f xml:space="preserve">IF($C2="","",COUNTIFS(VIATURAS!$G$2:$G$600,$C2))</f>
        <v/>
      </c>
    </row>
    <row r="3" ht="24" customHeight="1" spans="1:14">
      <c r="A3" s="5" t="s">
        <v>31</v>
      </c>
      <c r="B3" s="4"/>
      <c r="C3" s="17"/>
      <c r="D3" s="7"/>
      <c r="E3" s="7"/>
      <c r="F3" s="4"/>
      <c r="G3" s="4"/>
      <c r="H3" s="4"/>
      <c r="I3" s="18"/>
      <c r="J3" s="18" t="str">
        <f xml:space="preserve">IF($C3="","",COUNTIFS(PESSOAS!$A$2:$A$600,$A3,PESSOAS!$C$2:$C$600,$C3,PESSOAS!$F$2:$F$600,"?*"))</f>
        <v/>
      </c>
      <c r="K3" s="18" t="str">
        <f xml:space="preserve">IF($C3="","",COUNTIFS(PESSOAS!$A$2:$A$600,$A3,PESSOAS!$C$2:$C$600,$C3,PESSOAS!$F$2:$F$600,"?*",PESSOAS!$D$2:$D$600,"?*"))</f>
        <v/>
      </c>
      <c r="L3" s="18" t="str">
        <f xml:space="preserve">IF($C3="","",COUNTIFS(PESSOAS!$A$2:$A$600,$A3,PESSOAS!$C$2:$C$600,$C3,PESSOAS!$K$2:$K$600,"Sem nome informado"))</f>
        <v/>
      </c>
      <c r="M3" s="18" t="str">
        <f t="shared" si="0"/>
        <v/>
      </c>
      <c r="N3" s="18" t="str">
        <f xml:space="preserve">IF($C3="","",COUNTIFS(VIATURAS!$G$2:$G$600,$C3))</f>
        <v/>
      </c>
    </row>
    <row r="4" ht="24" customHeight="1" spans="1:14">
      <c r="A4" s="5" t="s">
        <v>31</v>
      </c>
      <c r="B4" s="4"/>
      <c r="C4" s="17"/>
      <c r="D4" s="7"/>
      <c r="E4" s="7"/>
      <c r="F4" s="4"/>
      <c r="G4" s="4"/>
      <c r="H4" s="4"/>
      <c r="I4" s="18"/>
      <c r="J4" s="18" t="str">
        <f xml:space="preserve">IF($C4="","",COUNTIFS(PESSOAS!$A$2:$A$600,$A4,PESSOAS!$C$2:$C$600,$C4,PESSOAS!$F$2:$F$600,"?*"))</f>
        <v/>
      </c>
      <c r="K4" s="18" t="str">
        <f xml:space="preserve">IF($C4="","",COUNTIFS(PESSOAS!$A$2:$A$600,$A4,PESSOAS!$C$2:$C$600,$C4,PESSOAS!$F$2:$F$600,"?*",PESSOAS!$D$2:$D$600,"?*"))</f>
        <v/>
      </c>
      <c r="L4" s="18" t="str">
        <f xml:space="preserve">IF($C4="","",COUNTIFS(PESSOAS!$A$2:$A$600,$A4,PESSOAS!$C$2:$C$600,$C4,PESSOAS!$K$2:$K$600,"Sem nome informado"))</f>
        <v/>
      </c>
      <c r="M4" s="18" t="str">
        <f t="shared" si="0"/>
        <v/>
      </c>
      <c r="N4" s="18" t="str">
        <f xml:space="preserve">IF($C4="","",COUNTIFS(VIATURAS!$G$2:$G$600,$C4))</f>
        <v/>
      </c>
    </row>
    <row r="5" ht="24" customHeight="1" spans="1:14">
      <c r="A5" s="5" t="s">
        <v>31</v>
      </c>
      <c r="B5" s="4"/>
      <c r="C5" s="17"/>
      <c r="D5" s="7"/>
      <c r="E5" s="7"/>
      <c r="F5" s="4"/>
      <c r="G5" s="4"/>
      <c r="H5" s="4"/>
      <c r="I5" s="18"/>
      <c r="J5" s="18" t="str">
        <f xml:space="preserve">IF($C5="","",COUNTIFS(PESSOAS!$A$2:$A$600,$A5,PESSOAS!$C$2:$C$600,$C5,PESSOAS!$F$2:$F$600,"?*"))</f>
        <v/>
      </c>
      <c r="K5" s="18" t="str">
        <f xml:space="preserve">IF($C5="","",COUNTIFS(PESSOAS!$A$2:$A$600,$A5,PESSOAS!$C$2:$C$600,$C5,PESSOAS!$F$2:$F$600,"?*",PESSOAS!$D$2:$D$600,"?*"))</f>
        <v/>
      </c>
      <c r="L5" s="18" t="str">
        <f xml:space="preserve">IF($C5="","",COUNTIFS(PESSOAS!$A$2:$A$600,$A5,PESSOAS!$C$2:$C$600,$C5,PESSOAS!$K$2:$K$600,"Sem nome informado"))</f>
        <v/>
      </c>
      <c r="M5" s="18" t="str">
        <f t="shared" si="0"/>
        <v/>
      </c>
      <c r="N5" s="18" t="str">
        <f xml:space="preserve">IF($C5="","",COUNTIFS(VIATURAS!$G$2:$G$600,$C5))</f>
        <v/>
      </c>
    </row>
    <row r="6" ht="24" customHeight="1" spans="1:14">
      <c r="A6" s="5" t="s">
        <v>31</v>
      </c>
      <c r="B6" s="4"/>
      <c r="C6" s="17"/>
      <c r="D6" s="7"/>
      <c r="E6" s="7"/>
      <c r="F6" s="4"/>
      <c r="G6" s="4"/>
      <c r="H6" s="4"/>
      <c r="I6" s="18"/>
      <c r="J6" s="18" t="str">
        <f xml:space="preserve">IF($C6="","",COUNTIFS(PESSOAS!$A$2:$A$600,$A6,PESSOAS!$C$2:$C$600,$C6,PESSOAS!$F$2:$F$600,"?*"))</f>
        <v/>
      </c>
      <c r="K6" s="18" t="str">
        <f xml:space="preserve">IF($C6="","",COUNTIFS(PESSOAS!$A$2:$A$600,$A6,PESSOAS!$C$2:$C$600,$C6,PESSOAS!$F$2:$F$600,"?*",PESSOAS!$D$2:$D$600,"?*"))</f>
        <v/>
      </c>
      <c r="L6" s="18" t="str">
        <f xml:space="preserve">IF($C6="","",COUNTIFS(PESSOAS!$A$2:$A$600,$A6,PESSOAS!$C$2:$C$600,$C6,PESSOAS!$K$2:$K$600,"Sem nome informado"))</f>
        <v/>
      </c>
      <c r="M6" s="18" t="str">
        <f t="shared" si="0"/>
        <v/>
      </c>
      <c r="N6" s="18" t="str">
        <f xml:space="preserve">IF($C6="","",COUNTIFS(VIATURAS!$G$2:$G$600,$C6))</f>
        <v/>
      </c>
    </row>
    <row r="7" ht="24" customHeight="1" spans="1:14">
      <c r="A7" s="5" t="s">
        <v>31</v>
      </c>
      <c r="B7" s="4"/>
      <c r="C7" s="17"/>
      <c r="D7" s="7"/>
      <c r="E7" s="7"/>
      <c r="F7" s="4"/>
      <c r="G7" s="4"/>
      <c r="H7" s="4"/>
      <c r="I7" s="18"/>
      <c r="J7" s="18" t="str">
        <f xml:space="preserve">IF($C7="","",COUNTIFS(PESSOAS!$A$2:$A$600,$A7,PESSOAS!$C$2:$C$600,$C7,PESSOAS!$F$2:$F$600,"?*"))</f>
        <v/>
      </c>
      <c r="K7" s="18" t="str">
        <f xml:space="preserve">IF($C7="","",COUNTIFS(PESSOAS!$A$2:$A$600,$A7,PESSOAS!$C$2:$C$600,$C7,PESSOAS!$F$2:$F$600,"?*",PESSOAS!$D$2:$D$600,"?*"))</f>
        <v/>
      </c>
      <c r="L7" s="18" t="str">
        <f xml:space="preserve">IF($C7="","",COUNTIFS(PESSOAS!$A$2:$A$600,$A7,PESSOAS!$C$2:$C$600,$C7,PESSOAS!$K$2:$K$600,"Sem nome informado"))</f>
        <v/>
      </c>
      <c r="M7" s="18" t="str">
        <f t="shared" si="0"/>
        <v/>
      </c>
      <c r="N7" s="18" t="str">
        <f xml:space="preserve">IF($C7="","",COUNTIFS(VIATURAS!$G$2:$G$600,$C7))</f>
        <v/>
      </c>
    </row>
    <row r="8" ht="24" customHeight="1" spans="1:14">
      <c r="A8" s="5" t="s">
        <v>31</v>
      </c>
      <c r="B8" s="4"/>
      <c r="C8" s="17"/>
      <c r="D8" s="7"/>
      <c r="E8" s="7"/>
      <c r="F8" s="4"/>
      <c r="G8" s="4"/>
      <c r="H8" s="4"/>
      <c r="I8" s="18"/>
      <c r="J8" s="18" t="str">
        <f xml:space="preserve">IF($C8="","",COUNTIFS(PESSOAS!$A$2:$A$600,$A8,PESSOAS!$C$2:$C$600,$C8,PESSOAS!$F$2:$F$600,"?*"))</f>
        <v/>
      </c>
      <c r="K8" s="18" t="str">
        <f xml:space="preserve">IF($C8="","",COUNTIFS(PESSOAS!$A$2:$A$600,$A8,PESSOAS!$C$2:$C$600,$C8,PESSOAS!$F$2:$F$600,"?*",PESSOAS!$D$2:$D$600,"?*"))</f>
        <v/>
      </c>
      <c r="L8" s="18" t="str">
        <f xml:space="preserve">IF($C8="","",COUNTIFS(PESSOAS!$A$2:$A$600,$A8,PESSOAS!$C$2:$C$600,$C8,PESSOAS!$K$2:$K$600,"Sem nome informado"))</f>
        <v/>
      </c>
      <c r="M8" s="18" t="str">
        <f t="shared" si="0"/>
        <v/>
      </c>
      <c r="N8" s="18" t="str">
        <f xml:space="preserve">IF($C8="","",COUNTIFS(VIATURAS!$G$2:$G$600,$C8))</f>
        <v/>
      </c>
    </row>
    <row r="9" ht="24" customHeight="1" spans="1:14">
      <c r="A9" s="5" t="s">
        <v>31</v>
      </c>
      <c r="B9" s="4"/>
      <c r="C9" s="17"/>
      <c r="D9" s="7"/>
      <c r="E9" s="7"/>
      <c r="F9" s="4"/>
      <c r="G9" s="4"/>
      <c r="H9" s="4"/>
      <c r="I9" s="18"/>
      <c r="J9" s="18" t="str">
        <f xml:space="preserve">IF($C9="","",COUNTIFS(PESSOAS!$A$2:$A$600,$A9,PESSOAS!$C$2:$C$600,$C9,PESSOAS!$F$2:$F$600,"?*"))</f>
        <v/>
      </c>
      <c r="K9" s="18" t="str">
        <f xml:space="preserve">IF($C9="","",COUNTIFS(PESSOAS!$A$2:$A$600,$A9,PESSOAS!$C$2:$C$600,$C9,PESSOAS!$F$2:$F$600,"?*",PESSOAS!$D$2:$D$600,"?*"))</f>
        <v/>
      </c>
      <c r="L9" s="18" t="str">
        <f xml:space="preserve">IF($C9="","",COUNTIFS(PESSOAS!$A$2:$A$600,$A9,PESSOAS!$C$2:$C$600,$C9,PESSOAS!$K$2:$K$600,"Sem nome informado"))</f>
        <v/>
      </c>
      <c r="M9" s="18" t="str">
        <f t="shared" si="0"/>
        <v/>
      </c>
      <c r="N9" s="18" t="str">
        <f xml:space="preserve">IF($C9="","",COUNTIFS(VIATURAS!$G$2:$G$600,$C9))</f>
        <v/>
      </c>
    </row>
    <row r="10" ht="24" customHeight="1" spans="1:14">
      <c r="A10" s="5" t="s">
        <v>31</v>
      </c>
      <c r="B10" s="4"/>
      <c r="C10" s="17"/>
      <c r="D10" s="7"/>
      <c r="E10" s="7"/>
      <c r="F10" s="4"/>
      <c r="G10" s="4"/>
      <c r="H10" s="4"/>
      <c r="I10" s="18"/>
      <c r="J10" s="18" t="str">
        <f xml:space="preserve">IF($C10="","",COUNTIFS(PESSOAS!$A$2:$A$600,$A10,PESSOAS!$C$2:$C$600,$C10,PESSOAS!$F$2:$F$600,"?*"))</f>
        <v/>
      </c>
      <c r="K10" s="18" t="str">
        <f xml:space="preserve">IF($C10="","",COUNTIFS(PESSOAS!$A$2:$A$600,$A10,PESSOAS!$C$2:$C$600,$C10,PESSOAS!$F$2:$F$600,"?*",PESSOAS!$D$2:$D$600,"?*"))</f>
        <v/>
      </c>
      <c r="L10" s="18" t="str">
        <f xml:space="preserve">IF($C10="","",COUNTIFS(PESSOAS!$A$2:$A$600,$A10,PESSOAS!$C$2:$C$600,$C10,PESSOAS!$K$2:$K$600,"Sem nome informado"))</f>
        <v/>
      </c>
      <c r="M10" s="18" t="str">
        <f t="shared" si="0"/>
        <v/>
      </c>
      <c r="N10" s="18" t="str">
        <f xml:space="preserve">IF($C10="","",COUNTIFS(VIATURAS!$G$2:$G$600,$C10))</f>
        <v/>
      </c>
    </row>
    <row r="11" ht="24" customHeight="1" spans="1:14">
      <c r="A11" s="5" t="s">
        <v>31</v>
      </c>
      <c r="B11" s="4"/>
      <c r="C11" s="17"/>
      <c r="D11" s="7"/>
      <c r="E11" s="7"/>
      <c r="F11" s="4"/>
      <c r="G11" s="4"/>
      <c r="H11" s="4"/>
      <c r="I11" s="18"/>
      <c r="J11" s="18" t="str">
        <f xml:space="preserve">IF($C11="","",COUNTIFS(PESSOAS!$A$2:$A$600,$A11,PESSOAS!$C$2:$C$600,$C11,PESSOAS!$F$2:$F$600,"?*"))</f>
        <v/>
      </c>
      <c r="K11" s="18" t="str">
        <f xml:space="preserve">IF($C11="","",COUNTIFS(PESSOAS!$A$2:$A$600,$A11,PESSOAS!$C$2:$C$600,$C11,PESSOAS!$F$2:$F$600,"?*",PESSOAS!$D$2:$D$600,"?*"))</f>
        <v/>
      </c>
      <c r="L11" s="18" t="str">
        <f xml:space="preserve">IF($C11="","",COUNTIFS(PESSOAS!$A$2:$A$600,$A11,PESSOAS!$C$2:$C$600,$C11,PESSOAS!$K$2:$K$600,"Sem nome informado"))</f>
        <v/>
      </c>
      <c r="M11" s="18" t="str">
        <f t="shared" si="0"/>
        <v/>
      </c>
      <c r="N11" s="18" t="str">
        <f xml:space="preserve">IF($C11="","",COUNTIFS(VIATURAS!$G$2:$G$600,$C11))</f>
        <v/>
      </c>
    </row>
    <row r="12" ht="24" customHeight="1" spans="1:14">
      <c r="A12" s="5" t="s">
        <v>31</v>
      </c>
      <c r="B12" s="4"/>
      <c r="C12" s="17"/>
      <c r="D12" s="7"/>
      <c r="E12" s="7"/>
      <c r="F12" s="4"/>
      <c r="G12" s="4"/>
      <c r="H12" s="4"/>
      <c r="I12" s="18"/>
      <c r="J12" s="18" t="str">
        <f xml:space="preserve">IF($C12="","",COUNTIFS(PESSOAS!$A$2:$A$600,$A12,PESSOAS!$C$2:$C$600,$C12,PESSOAS!$F$2:$F$600,"?*"))</f>
        <v/>
      </c>
      <c r="K12" s="18" t="str">
        <f xml:space="preserve">IF($C12="","",COUNTIFS(PESSOAS!$A$2:$A$600,$A12,PESSOAS!$C$2:$C$600,$C12,PESSOAS!$F$2:$F$600,"?*",PESSOAS!$D$2:$D$600,"?*"))</f>
        <v/>
      </c>
      <c r="L12" s="18" t="str">
        <f xml:space="preserve">IF($C12="","",COUNTIFS(PESSOAS!$A$2:$A$600,$A12,PESSOAS!$C$2:$C$600,$C12,PESSOAS!$K$2:$K$600,"Sem nome informado"))</f>
        <v/>
      </c>
      <c r="M12" s="18" t="str">
        <f t="shared" si="0"/>
        <v/>
      </c>
      <c r="N12" s="18" t="str">
        <f xml:space="preserve">IF($C12="","",COUNTIFS(VIATURAS!$G$2:$G$600,$C12))</f>
        <v/>
      </c>
    </row>
    <row r="13" ht="24" customHeight="1" spans="1:14">
      <c r="A13" s="5" t="s">
        <v>31</v>
      </c>
      <c r="B13" s="4"/>
      <c r="C13" s="17"/>
      <c r="D13" s="7"/>
      <c r="E13" s="7"/>
      <c r="F13" s="4"/>
      <c r="G13" s="4"/>
      <c r="H13" s="4"/>
      <c r="I13" s="18"/>
      <c r="J13" s="18" t="str">
        <f xml:space="preserve">IF($C13="","",COUNTIFS(PESSOAS!$A$2:$A$600,$A13,PESSOAS!$C$2:$C$600,$C13,PESSOAS!$F$2:$F$600,"?*"))</f>
        <v/>
      </c>
      <c r="K13" s="18" t="str">
        <f xml:space="preserve">IF($C13="","",COUNTIFS(PESSOAS!$A$2:$A$600,$A13,PESSOAS!$C$2:$C$600,$C13,PESSOAS!$F$2:$F$600,"?*",PESSOAS!$D$2:$D$600,"?*"))</f>
        <v/>
      </c>
      <c r="L13" s="18" t="str">
        <f xml:space="preserve">IF($C13="","",COUNTIFS(PESSOAS!$A$2:$A$600,$A13,PESSOAS!$C$2:$C$600,$C13,PESSOAS!$K$2:$K$600,"Sem nome informado"))</f>
        <v/>
      </c>
      <c r="M13" s="18" t="str">
        <f t="shared" si="0"/>
        <v/>
      </c>
      <c r="N13" s="18" t="str">
        <f xml:space="preserve">IF($C13="","",COUNTIFS(VIATURAS!$G$2:$G$600,$C13))</f>
        <v/>
      </c>
    </row>
    <row r="14" ht="24" customHeight="1" spans="1:14">
      <c r="A14" s="5" t="s">
        <v>31</v>
      </c>
      <c r="B14" s="4"/>
      <c r="C14" s="17"/>
      <c r="D14" s="7"/>
      <c r="E14" s="7"/>
      <c r="F14" s="4"/>
      <c r="G14" s="4"/>
      <c r="H14" s="4"/>
      <c r="I14" s="18"/>
      <c r="J14" s="18" t="str">
        <f xml:space="preserve">IF($C14="","",COUNTIFS(PESSOAS!$A$2:$A$600,$A14,PESSOAS!$C$2:$C$600,$C14,PESSOAS!$F$2:$F$600,"?*"))</f>
        <v/>
      </c>
      <c r="K14" s="18" t="str">
        <f xml:space="preserve">IF($C14="","",COUNTIFS(PESSOAS!$A$2:$A$600,$A14,PESSOAS!$C$2:$C$600,$C14,PESSOAS!$F$2:$F$600,"?*",PESSOAS!$D$2:$D$600,"?*"))</f>
        <v/>
      </c>
      <c r="L14" s="18" t="str">
        <f xml:space="preserve">IF($C14="","",COUNTIFS(PESSOAS!$A$2:$A$600,$A14,PESSOAS!$C$2:$C$600,$C14,PESSOAS!$K$2:$K$600,"Sem nome informado"))</f>
        <v/>
      </c>
      <c r="M14" s="18" t="str">
        <f t="shared" si="0"/>
        <v/>
      </c>
      <c r="N14" s="18" t="str">
        <f xml:space="preserve">IF($C14="","",COUNTIFS(VIATURAS!$G$2:$G$600,$C14))</f>
        <v/>
      </c>
    </row>
    <row r="15" ht="24" customHeight="1" spans="1:14">
      <c r="A15" s="5" t="s">
        <v>31</v>
      </c>
      <c r="B15" s="4"/>
      <c r="C15" s="17"/>
      <c r="D15" s="7"/>
      <c r="E15" s="7"/>
      <c r="F15" s="4"/>
      <c r="G15" s="4"/>
      <c r="H15" s="4"/>
      <c r="I15" s="18"/>
      <c r="J15" s="18" t="str">
        <f xml:space="preserve">IF($C15="","",COUNTIFS(PESSOAS!$A$2:$A$600,$A15,PESSOAS!$C$2:$C$600,$C15,PESSOAS!$F$2:$F$600,"?*"))</f>
        <v/>
      </c>
      <c r="K15" s="18" t="str">
        <f xml:space="preserve">IF($C15="","",COUNTIFS(PESSOAS!$A$2:$A$600,$A15,PESSOAS!$C$2:$C$600,$C15,PESSOAS!$F$2:$F$600,"?*",PESSOAS!$D$2:$D$600,"?*"))</f>
        <v/>
      </c>
      <c r="L15" s="18" t="str">
        <f xml:space="preserve">IF($C15="","",COUNTIFS(PESSOAS!$A$2:$A$600,$A15,PESSOAS!$C$2:$C$600,$C15,PESSOAS!$K$2:$K$600,"Sem nome informado"))</f>
        <v/>
      </c>
      <c r="M15" s="18" t="str">
        <f t="shared" si="0"/>
        <v/>
      </c>
      <c r="N15" s="18" t="str">
        <f xml:space="preserve">IF($C15="","",COUNTIFS(VIATURAS!$G$2:$G$600,$C15))</f>
        <v/>
      </c>
    </row>
    <row r="16" ht="24" customHeight="1" spans="1:14">
      <c r="A16" s="5" t="s">
        <v>31</v>
      </c>
      <c r="B16" s="4"/>
      <c r="C16" s="17"/>
      <c r="D16" s="7"/>
      <c r="E16" s="7"/>
      <c r="F16" s="4"/>
      <c r="G16" s="4"/>
      <c r="H16" s="4"/>
      <c r="I16" s="18"/>
      <c r="J16" s="18" t="str">
        <f xml:space="preserve">IF($C16="","",COUNTIFS(PESSOAS!$A$2:$A$600,$A16,PESSOAS!$C$2:$C$600,$C16,PESSOAS!$F$2:$F$600,"?*"))</f>
        <v/>
      </c>
      <c r="K16" s="18" t="str">
        <f xml:space="preserve">IF($C16="","",COUNTIFS(PESSOAS!$A$2:$A$600,$A16,PESSOAS!$C$2:$C$600,$C16,PESSOAS!$F$2:$F$600,"?*",PESSOAS!$D$2:$D$600,"?*"))</f>
        <v/>
      </c>
      <c r="L16" s="18" t="str">
        <f xml:space="preserve">IF($C16="","",COUNTIFS(PESSOAS!$A$2:$A$600,$A16,PESSOAS!$C$2:$C$600,$C16,PESSOAS!$K$2:$K$600,"Sem nome informado"))</f>
        <v/>
      </c>
      <c r="M16" s="18" t="str">
        <f t="shared" si="0"/>
        <v/>
      </c>
      <c r="N16" s="18" t="str">
        <f xml:space="preserve">IF($C16="","",COUNTIFS(VIATURAS!$G$2:$G$600,$C16))</f>
        <v/>
      </c>
    </row>
    <row r="17" ht="24" customHeight="1" spans="1:14">
      <c r="A17" s="5" t="s">
        <v>31</v>
      </c>
      <c r="B17" s="4"/>
      <c r="C17" s="17"/>
      <c r="D17" s="7"/>
      <c r="E17" s="7"/>
      <c r="F17" s="4"/>
      <c r="G17" s="4"/>
      <c r="H17" s="4"/>
      <c r="I17" s="18"/>
      <c r="J17" s="18" t="str">
        <f xml:space="preserve">IF($C17="","",COUNTIFS(PESSOAS!$A$2:$A$600,$A17,PESSOAS!$C$2:$C$600,$C17,PESSOAS!$F$2:$F$600,"?*"))</f>
        <v/>
      </c>
      <c r="K17" s="18" t="str">
        <f xml:space="preserve">IF($C17="","",COUNTIFS(PESSOAS!$A$2:$A$600,$A17,PESSOAS!$C$2:$C$600,$C17,PESSOAS!$F$2:$F$600,"?*",PESSOAS!$D$2:$D$600,"?*"))</f>
        <v/>
      </c>
      <c r="L17" s="18" t="str">
        <f xml:space="preserve">IF($C17="","",COUNTIFS(PESSOAS!$A$2:$A$600,$A17,PESSOAS!$C$2:$C$600,$C17,PESSOAS!$K$2:$K$600,"Sem nome informado"))</f>
        <v/>
      </c>
      <c r="M17" s="18" t="str">
        <f t="shared" si="0"/>
        <v/>
      </c>
      <c r="N17" s="18" t="str">
        <f xml:space="preserve">IF($C17="","",COUNTIFS(VIATURAS!$G$2:$G$600,$C17))</f>
        <v/>
      </c>
    </row>
    <row r="18" ht="24" customHeight="1" spans="1:14">
      <c r="A18" s="5" t="s">
        <v>31</v>
      </c>
      <c r="B18" s="4"/>
      <c r="C18" s="17"/>
      <c r="D18" s="7"/>
      <c r="E18" s="7"/>
      <c r="F18" s="4"/>
      <c r="G18" s="4"/>
      <c r="H18" s="4"/>
      <c r="I18" s="18"/>
      <c r="J18" s="18" t="str">
        <f xml:space="preserve">IF($C18="","",COUNTIFS(PESSOAS!$A$2:$A$600,$A18,PESSOAS!$C$2:$C$600,$C18,PESSOAS!$F$2:$F$600,"?*"))</f>
        <v/>
      </c>
      <c r="K18" s="18" t="str">
        <f xml:space="preserve">IF($C18="","",COUNTIFS(PESSOAS!$A$2:$A$600,$A18,PESSOAS!$C$2:$C$600,$C18,PESSOAS!$F$2:$F$600,"?*",PESSOAS!$D$2:$D$600,"?*"))</f>
        <v/>
      </c>
      <c r="L18" s="18" t="str">
        <f xml:space="preserve">IF($C18="","",COUNTIFS(PESSOAS!$A$2:$A$600,$A18,PESSOAS!$C$2:$C$600,$C18,PESSOAS!$K$2:$K$600,"Sem nome informado"))</f>
        <v/>
      </c>
      <c r="M18" s="18" t="str">
        <f t="shared" si="0"/>
        <v/>
      </c>
      <c r="N18" s="18" t="str">
        <f xml:space="preserve">IF($C18="","",COUNTIFS(VIATURAS!$G$2:$G$600,$C18))</f>
        <v/>
      </c>
    </row>
    <row r="19" ht="24" customHeight="1" spans="1:14">
      <c r="A19" s="5" t="s">
        <v>31</v>
      </c>
      <c r="B19" s="4"/>
      <c r="C19" s="17"/>
      <c r="D19" s="7"/>
      <c r="E19" s="7"/>
      <c r="F19" s="4"/>
      <c r="G19" s="4"/>
      <c r="H19" s="4"/>
      <c r="I19" s="18"/>
      <c r="J19" s="18" t="str">
        <f xml:space="preserve">IF($C19="","",COUNTIFS(PESSOAS!$A$2:$A$600,$A19,PESSOAS!$C$2:$C$600,$C19,PESSOAS!$F$2:$F$600,"?*"))</f>
        <v/>
      </c>
      <c r="K19" s="18" t="str">
        <f xml:space="preserve">IF($C19="","",COUNTIFS(PESSOAS!$A$2:$A$600,$A19,PESSOAS!$C$2:$C$600,$C19,PESSOAS!$F$2:$F$600,"?*",PESSOAS!$D$2:$D$600,"?*"))</f>
        <v/>
      </c>
      <c r="L19" s="18" t="str">
        <f xml:space="preserve">IF($C19="","",COUNTIFS(PESSOAS!$A$2:$A$600,$A19,PESSOAS!$C$2:$C$600,$C19,PESSOAS!$K$2:$K$600,"Sem nome informado"))</f>
        <v/>
      </c>
      <c r="M19" s="18" t="str">
        <f t="shared" si="0"/>
        <v/>
      </c>
      <c r="N19" s="18" t="str">
        <f xml:space="preserve">IF($C19="","",COUNTIFS(VIATURAS!$G$2:$G$600,$C19))</f>
        <v/>
      </c>
    </row>
    <row r="20" ht="24" customHeight="1" spans="1:14">
      <c r="A20" s="5" t="s">
        <v>31</v>
      </c>
      <c r="B20" s="4"/>
      <c r="C20" s="17"/>
      <c r="D20" s="7"/>
      <c r="E20" s="7"/>
      <c r="F20" s="4"/>
      <c r="G20" s="4"/>
      <c r="H20" s="4"/>
      <c r="I20" s="18"/>
      <c r="J20" s="18" t="str">
        <f xml:space="preserve">IF($C20="","",COUNTIFS(PESSOAS!$A$2:$A$600,$A20,PESSOAS!$C$2:$C$600,$C20,PESSOAS!$F$2:$F$600,"?*"))</f>
        <v/>
      </c>
      <c r="K20" s="18" t="str">
        <f xml:space="preserve">IF($C20="","",COUNTIFS(PESSOAS!$A$2:$A$600,$A20,PESSOAS!$C$2:$C$600,$C20,PESSOAS!$F$2:$F$600,"?*",PESSOAS!$D$2:$D$600,"?*"))</f>
        <v/>
      </c>
      <c r="L20" s="18" t="str">
        <f xml:space="preserve">IF($C20="","",COUNTIFS(PESSOAS!$A$2:$A$600,$A20,PESSOAS!$C$2:$C$600,$C20,PESSOAS!$K$2:$K$600,"Sem nome informado"))</f>
        <v/>
      </c>
      <c r="M20" s="18" t="str">
        <f t="shared" si="0"/>
        <v/>
      </c>
      <c r="N20" s="18" t="str">
        <f xml:space="preserve">IF($C20="","",COUNTIFS(VIATURAS!$G$2:$G$600,$C20))</f>
        <v/>
      </c>
    </row>
    <row r="21" ht="24" customHeight="1" spans="1:14">
      <c r="A21" s="5" t="s">
        <v>31</v>
      </c>
      <c r="B21" s="4"/>
      <c r="C21" s="17"/>
      <c r="D21" s="7"/>
      <c r="E21" s="7"/>
      <c r="F21" s="4"/>
      <c r="G21" s="4"/>
      <c r="H21" s="4"/>
      <c r="I21" s="18"/>
      <c r="J21" s="18" t="str">
        <f xml:space="preserve">IF($C21="","",COUNTIFS(PESSOAS!$A$2:$A$600,$A21,PESSOAS!$C$2:$C$600,$C21,PESSOAS!$F$2:$F$600,"?*"))</f>
        <v/>
      </c>
      <c r="K21" s="18" t="str">
        <f xml:space="preserve">IF($C21="","",COUNTIFS(PESSOAS!$A$2:$A$600,$A21,PESSOAS!$C$2:$C$600,$C21,PESSOAS!$F$2:$F$600,"?*",PESSOAS!$D$2:$D$600,"?*"))</f>
        <v/>
      </c>
      <c r="L21" s="18" t="str">
        <f xml:space="preserve">IF($C21="","",COUNTIFS(PESSOAS!$A$2:$A$600,$A21,PESSOAS!$C$2:$C$600,$C21,PESSOAS!$K$2:$K$600,"Sem nome informado"))</f>
        <v/>
      </c>
      <c r="M21" s="18" t="str">
        <f t="shared" si="0"/>
        <v/>
      </c>
      <c r="N21" s="18" t="str">
        <f xml:space="preserve">IF($C21="","",COUNTIFS(VIATURAS!$G$2:$G$600,$C21))</f>
        <v/>
      </c>
    </row>
    <row r="22" ht="24" customHeight="1" spans="1:14">
      <c r="A22" s="5" t="s">
        <v>31</v>
      </c>
      <c r="B22" s="4"/>
      <c r="C22" s="17"/>
      <c r="D22" s="7"/>
      <c r="E22" s="7"/>
      <c r="F22" s="4"/>
      <c r="G22" s="4"/>
      <c r="H22" s="4"/>
      <c r="I22" s="18"/>
      <c r="J22" s="18" t="str">
        <f xml:space="preserve">IF($C22="","",COUNTIFS(PESSOAS!$A$2:$A$600,$A22,PESSOAS!$C$2:$C$600,$C22,PESSOAS!$F$2:$F$600,"?*"))</f>
        <v/>
      </c>
      <c r="K22" s="18" t="str">
        <f xml:space="preserve">IF($C22="","",COUNTIFS(PESSOAS!$A$2:$A$600,$A22,PESSOAS!$C$2:$C$600,$C22,PESSOAS!$F$2:$F$600,"?*",PESSOAS!$D$2:$D$600,"?*"))</f>
        <v/>
      </c>
      <c r="L22" s="18" t="str">
        <f xml:space="preserve">IF($C22="","",COUNTIFS(PESSOAS!$A$2:$A$600,$A22,PESSOAS!$C$2:$C$600,$C22,PESSOAS!$K$2:$K$600,"Sem nome informado"))</f>
        <v/>
      </c>
      <c r="M22" s="18" t="str">
        <f t="shared" si="0"/>
        <v/>
      </c>
      <c r="N22" s="18" t="str">
        <f xml:space="preserve">IF($C22="","",COUNTIFS(VIATURAS!$G$2:$G$600,$C22))</f>
        <v/>
      </c>
    </row>
    <row r="23" ht="24" customHeight="1" spans="1:14">
      <c r="A23" s="5" t="s">
        <v>31</v>
      </c>
      <c r="B23" s="4"/>
      <c r="C23" s="17"/>
      <c r="D23" s="7"/>
      <c r="E23" s="7"/>
      <c r="F23" s="4"/>
      <c r="G23" s="4"/>
      <c r="H23" s="4"/>
      <c r="I23" s="18"/>
      <c r="J23" s="18" t="str">
        <f xml:space="preserve">IF($C23="","",COUNTIFS(PESSOAS!$A$2:$A$600,$A23,PESSOAS!$C$2:$C$600,$C23,PESSOAS!$F$2:$F$600,"?*"))</f>
        <v/>
      </c>
      <c r="K23" s="18" t="str">
        <f xml:space="preserve">IF($C23="","",COUNTIFS(PESSOAS!$A$2:$A$600,$A23,PESSOAS!$C$2:$C$600,$C23,PESSOAS!$F$2:$F$600,"?*",PESSOAS!$D$2:$D$600,"?*"))</f>
        <v/>
      </c>
      <c r="L23" s="18" t="str">
        <f xml:space="preserve">IF($C23="","",COUNTIFS(PESSOAS!$A$2:$A$600,$A23,PESSOAS!$C$2:$C$600,$C23,PESSOAS!$K$2:$K$600,"Sem nome informado"))</f>
        <v/>
      </c>
      <c r="M23" s="18" t="str">
        <f t="shared" si="0"/>
        <v/>
      </c>
      <c r="N23" s="18" t="str">
        <f xml:space="preserve">IF($C23="","",COUNTIFS(VIATURAS!$G$2:$G$600,$C23))</f>
        <v/>
      </c>
    </row>
    <row r="24" ht="24" customHeight="1" spans="1:14">
      <c r="A24" s="5" t="s">
        <v>31</v>
      </c>
      <c r="B24" s="4"/>
      <c r="C24" s="17"/>
      <c r="D24" s="7"/>
      <c r="E24" s="7"/>
      <c r="F24" s="4"/>
      <c r="G24" s="4"/>
      <c r="H24" s="4"/>
      <c r="I24" s="18"/>
      <c r="J24" s="18" t="str">
        <f xml:space="preserve">IF($C24="","",COUNTIFS(PESSOAS!$A$2:$A$600,$A24,PESSOAS!$C$2:$C$600,$C24,PESSOAS!$F$2:$F$600,"?*"))</f>
        <v/>
      </c>
      <c r="K24" s="18" t="str">
        <f xml:space="preserve">IF($C24="","",COUNTIFS(PESSOAS!$A$2:$A$600,$A24,PESSOAS!$C$2:$C$600,$C24,PESSOAS!$F$2:$F$600,"?*",PESSOAS!$D$2:$D$600,"?*"))</f>
        <v/>
      </c>
      <c r="L24" s="18" t="str">
        <f xml:space="preserve">IF($C24="","",COUNTIFS(PESSOAS!$A$2:$A$600,$A24,PESSOAS!$C$2:$C$600,$C24,PESSOAS!$K$2:$K$600,"Sem nome informado"))</f>
        <v/>
      </c>
      <c r="M24" s="18" t="str">
        <f t="shared" si="0"/>
        <v/>
      </c>
      <c r="N24" s="18" t="str">
        <f xml:space="preserve">IF($C24="","",COUNTIFS(VIATURAS!$G$2:$G$600,$C24))</f>
        <v/>
      </c>
    </row>
    <row r="25" ht="24" customHeight="1" spans="1:14">
      <c r="A25" s="5" t="s">
        <v>31</v>
      </c>
      <c r="B25" s="4"/>
      <c r="C25" s="17"/>
      <c r="D25" s="7"/>
      <c r="E25" s="7"/>
      <c r="F25" s="4"/>
      <c r="G25" s="4"/>
      <c r="H25" s="4"/>
      <c r="I25" s="18"/>
      <c r="J25" s="18" t="str">
        <f xml:space="preserve">IF($C25="","",COUNTIFS(PESSOAS!$A$2:$A$600,$A25,PESSOAS!$C$2:$C$600,$C25,PESSOAS!$F$2:$F$600,"?*"))</f>
        <v/>
      </c>
      <c r="K25" s="18" t="str">
        <f xml:space="preserve">IF($C25="","",COUNTIFS(PESSOAS!$A$2:$A$600,$A25,PESSOAS!$C$2:$C$600,$C25,PESSOAS!$F$2:$F$600,"?*",PESSOAS!$D$2:$D$600,"?*"))</f>
        <v/>
      </c>
      <c r="L25" s="18" t="str">
        <f xml:space="preserve">IF($C25="","",COUNTIFS(PESSOAS!$A$2:$A$600,$A25,PESSOAS!$C$2:$C$600,$C25,PESSOAS!$K$2:$K$600,"Sem nome informado"))</f>
        <v/>
      </c>
      <c r="M25" s="18" t="str">
        <f t="shared" si="0"/>
        <v/>
      </c>
      <c r="N25" s="18" t="str">
        <f xml:space="preserve">IF($C25="","",COUNTIFS(VIATURAS!$G$2:$G$600,$C25))</f>
        <v/>
      </c>
    </row>
    <row r="26" ht="24" customHeight="1" spans="1:14">
      <c r="A26" s="5" t="s">
        <v>31</v>
      </c>
      <c r="B26" s="4"/>
      <c r="C26" s="17"/>
      <c r="D26" s="7"/>
      <c r="E26" s="7"/>
      <c r="F26" s="4"/>
      <c r="G26" s="4"/>
      <c r="H26" s="4"/>
      <c r="I26" s="18"/>
      <c r="J26" s="18" t="str">
        <f xml:space="preserve">IF($C26="","",COUNTIFS(PESSOAS!$A$2:$A$600,$A26,PESSOAS!$C$2:$C$600,$C26,PESSOAS!$F$2:$F$600,"?*"))</f>
        <v/>
      </c>
      <c r="K26" s="18" t="str">
        <f xml:space="preserve">IF($C26="","",COUNTIFS(PESSOAS!$A$2:$A$600,$A26,PESSOAS!$C$2:$C$600,$C26,PESSOAS!$F$2:$F$600,"?*",PESSOAS!$D$2:$D$600,"?*"))</f>
        <v/>
      </c>
      <c r="L26" s="18" t="str">
        <f xml:space="preserve">IF($C26="","",COUNTIFS(PESSOAS!$A$2:$A$600,$A26,PESSOAS!$C$2:$C$600,$C26,PESSOAS!$K$2:$K$600,"Sem nome informado"))</f>
        <v/>
      </c>
      <c r="M26" s="18" t="str">
        <f t="shared" si="0"/>
        <v/>
      </c>
      <c r="N26" s="18" t="str">
        <f xml:space="preserve">IF($C26="","",COUNTIFS(VIATURAS!$G$2:$G$600,$C26))</f>
        <v/>
      </c>
    </row>
    <row r="27" ht="24" customHeight="1" spans="1:14">
      <c r="A27" s="5" t="s">
        <v>31</v>
      </c>
      <c r="B27" s="4"/>
      <c r="C27" s="17"/>
      <c r="D27" s="7"/>
      <c r="E27" s="7"/>
      <c r="F27" s="4"/>
      <c r="G27" s="4"/>
      <c r="H27" s="4"/>
      <c r="I27" s="18"/>
      <c r="J27" s="18" t="str">
        <f xml:space="preserve">IF($C27="","",COUNTIFS(PESSOAS!$A$2:$A$600,$A27,PESSOAS!$C$2:$C$600,$C27,PESSOAS!$F$2:$F$600,"?*"))</f>
        <v/>
      </c>
      <c r="K27" s="18" t="str">
        <f xml:space="preserve">IF($C27="","",COUNTIFS(PESSOAS!$A$2:$A$600,$A27,PESSOAS!$C$2:$C$600,$C27,PESSOAS!$F$2:$F$600,"?*",PESSOAS!$D$2:$D$600,"?*"))</f>
        <v/>
      </c>
      <c r="L27" s="18" t="str">
        <f xml:space="preserve">IF($C27="","",COUNTIFS(PESSOAS!$A$2:$A$600,$A27,PESSOAS!$C$2:$C$600,$C27,PESSOAS!$K$2:$K$600,"Sem nome informado"))</f>
        <v/>
      </c>
      <c r="M27" s="18" t="str">
        <f t="shared" si="0"/>
        <v/>
      </c>
      <c r="N27" s="18" t="str">
        <f xml:space="preserve">IF($C27="","",COUNTIFS(VIATURAS!$G$2:$G$600,$C27))</f>
        <v/>
      </c>
    </row>
    <row r="28" ht="24" customHeight="1" spans="1:14">
      <c r="A28" s="5" t="s">
        <v>31</v>
      </c>
      <c r="B28" s="4"/>
      <c r="C28" s="17"/>
      <c r="D28" s="7"/>
      <c r="E28" s="7"/>
      <c r="F28" s="4"/>
      <c r="G28" s="4"/>
      <c r="H28" s="4"/>
      <c r="I28" s="18"/>
      <c r="J28" s="18" t="str">
        <f xml:space="preserve">IF($C28="","",COUNTIFS(PESSOAS!$A$2:$A$600,$A28,PESSOAS!$C$2:$C$600,$C28,PESSOAS!$F$2:$F$600,"?*"))</f>
        <v/>
      </c>
      <c r="K28" s="18" t="str">
        <f xml:space="preserve">IF($C28="","",COUNTIFS(PESSOAS!$A$2:$A$600,$A28,PESSOAS!$C$2:$C$600,$C28,PESSOAS!$F$2:$F$600,"?*",PESSOAS!$D$2:$D$600,"?*"))</f>
        <v/>
      </c>
      <c r="L28" s="18" t="str">
        <f xml:space="preserve">IF($C28="","",COUNTIFS(PESSOAS!$A$2:$A$600,$A28,PESSOAS!$C$2:$C$600,$C28,PESSOAS!$K$2:$K$600,"Sem nome informado"))</f>
        <v/>
      </c>
      <c r="M28" s="18" t="str">
        <f t="shared" si="0"/>
        <v/>
      </c>
      <c r="N28" s="18" t="str">
        <f xml:space="preserve">IF($C28="","",COUNTIFS(VIATURAS!$G$2:$G$600,$C28))</f>
        <v/>
      </c>
    </row>
    <row r="29" ht="24" customHeight="1" spans="1:14">
      <c r="A29" s="5" t="s">
        <v>31</v>
      </c>
      <c r="B29" s="4"/>
      <c r="C29" s="17"/>
      <c r="D29" s="7"/>
      <c r="E29" s="7"/>
      <c r="F29" s="4"/>
      <c r="G29" s="4"/>
      <c r="H29" s="4"/>
      <c r="I29" s="18"/>
      <c r="J29" s="18" t="str">
        <f xml:space="preserve">IF($C29="","",COUNTIFS(PESSOAS!$A$2:$A$600,$A29,PESSOAS!$C$2:$C$600,$C29,PESSOAS!$F$2:$F$600,"?*"))</f>
        <v/>
      </c>
      <c r="K29" s="18" t="str">
        <f xml:space="preserve">IF($C29="","",COUNTIFS(PESSOAS!$A$2:$A$600,$A29,PESSOAS!$C$2:$C$600,$C29,PESSOAS!$F$2:$F$600,"?*",PESSOAS!$D$2:$D$600,"?*"))</f>
        <v/>
      </c>
      <c r="L29" s="18" t="str">
        <f xml:space="preserve">IF($C29="","",COUNTIFS(PESSOAS!$A$2:$A$600,$A29,PESSOAS!$C$2:$C$600,$C29,PESSOAS!$K$2:$K$600,"Sem nome informado"))</f>
        <v/>
      </c>
      <c r="M29" s="18" t="str">
        <f t="shared" si="0"/>
        <v/>
      </c>
      <c r="N29" s="18" t="str">
        <f xml:space="preserve">IF($C29="","",COUNTIFS(VIATURAS!$G$2:$G$600,$C29))</f>
        <v/>
      </c>
    </row>
    <row r="30" ht="24" customHeight="1" spans="1:14">
      <c r="A30" s="5" t="s">
        <v>31</v>
      </c>
      <c r="B30" s="4"/>
      <c r="C30" s="17"/>
      <c r="D30" s="7"/>
      <c r="E30" s="7"/>
      <c r="F30" s="4"/>
      <c r="G30" s="4"/>
      <c r="H30" s="4"/>
      <c r="I30" s="18"/>
      <c r="J30" s="18" t="str">
        <f xml:space="preserve">IF($C30="","",COUNTIFS(PESSOAS!$A$2:$A$600,$A30,PESSOAS!$C$2:$C$600,$C30,PESSOAS!$F$2:$F$600,"?*"))</f>
        <v/>
      </c>
      <c r="K30" s="18" t="str">
        <f xml:space="preserve">IF($C30="","",COUNTIFS(PESSOAS!$A$2:$A$600,$A30,PESSOAS!$C$2:$C$600,$C30,PESSOAS!$F$2:$F$600,"?*",PESSOAS!$D$2:$D$600,"?*"))</f>
        <v/>
      </c>
      <c r="L30" s="18" t="str">
        <f xml:space="preserve">IF($C30="","",COUNTIFS(PESSOAS!$A$2:$A$600,$A30,PESSOAS!$C$2:$C$600,$C30,PESSOAS!$K$2:$K$600,"Sem nome informado"))</f>
        <v/>
      </c>
      <c r="M30" s="18" t="str">
        <f t="shared" si="0"/>
        <v/>
      </c>
      <c r="N30" s="18" t="str">
        <f xml:space="preserve">IF($C30="","",COUNTIFS(VIATURAS!$G$2:$G$600,$C30))</f>
        <v/>
      </c>
    </row>
    <row r="31" ht="24" customHeight="1" spans="1:14">
      <c r="A31" s="5" t="s">
        <v>31</v>
      </c>
      <c r="B31" s="4"/>
      <c r="C31" s="17"/>
      <c r="D31" s="7"/>
      <c r="E31" s="7"/>
      <c r="F31" s="4"/>
      <c r="G31" s="4"/>
      <c r="H31" s="4"/>
      <c r="I31" s="18"/>
      <c r="J31" s="18" t="str">
        <f xml:space="preserve">IF($C31="","",COUNTIFS(PESSOAS!$A$2:$A$600,$A31,PESSOAS!$C$2:$C$600,$C31,PESSOAS!$F$2:$F$600,"?*"))</f>
        <v/>
      </c>
      <c r="K31" s="18" t="str">
        <f xml:space="preserve">IF($C31="","",COUNTIFS(PESSOAS!$A$2:$A$600,$A31,PESSOAS!$C$2:$C$600,$C31,PESSOAS!$F$2:$F$600,"?*",PESSOAS!$D$2:$D$600,"?*"))</f>
        <v/>
      </c>
      <c r="L31" s="18" t="str">
        <f xml:space="preserve">IF($C31="","",COUNTIFS(PESSOAS!$A$2:$A$600,$A31,PESSOAS!$C$2:$C$600,$C31,PESSOAS!$K$2:$K$600,"Sem nome informado"))</f>
        <v/>
      </c>
      <c r="M31" s="18" t="str">
        <f t="shared" si="0"/>
        <v/>
      </c>
      <c r="N31" s="18" t="str">
        <f xml:space="preserve">IF($C31="","",COUNTIFS(VIATURAS!$G$2:$G$600,$C31))</f>
        <v/>
      </c>
    </row>
    <row r="32" ht="24" customHeight="1" spans="1:14">
      <c r="A32" s="5" t="s">
        <v>31</v>
      </c>
      <c r="B32" s="4"/>
      <c r="C32" s="17"/>
      <c r="D32" s="7"/>
      <c r="E32" s="7"/>
      <c r="F32" s="4"/>
      <c r="G32" s="4"/>
      <c r="H32" s="4"/>
      <c r="I32" s="18"/>
      <c r="J32" s="18" t="str">
        <f xml:space="preserve">IF($C32="","",COUNTIFS(PESSOAS!$A$2:$A$600,$A32,PESSOAS!$C$2:$C$600,$C32,PESSOAS!$F$2:$F$600,"?*"))</f>
        <v/>
      </c>
      <c r="K32" s="18" t="str">
        <f xml:space="preserve">IF($C32="","",COUNTIFS(PESSOAS!$A$2:$A$600,$A32,PESSOAS!$C$2:$C$600,$C32,PESSOAS!$F$2:$F$600,"?*",PESSOAS!$D$2:$D$600,"?*"))</f>
        <v/>
      </c>
      <c r="L32" s="18" t="str">
        <f xml:space="preserve">IF($C32="","",COUNTIFS(PESSOAS!$A$2:$A$600,$A32,PESSOAS!$C$2:$C$600,$C32,PESSOAS!$K$2:$K$600,"Sem nome informado"))</f>
        <v/>
      </c>
      <c r="M32" s="18" t="str">
        <f t="shared" si="0"/>
        <v/>
      </c>
      <c r="N32" s="18" t="str">
        <f xml:space="preserve">IF($C32="","",COUNTIFS(VIATURAS!$G$2:$G$600,$C32))</f>
        <v/>
      </c>
    </row>
    <row r="33" ht="24" customHeight="1" spans="1:14">
      <c r="A33" s="5" t="s">
        <v>31</v>
      </c>
      <c r="B33" s="4"/>
      <c r="C33" s="17"/>
      <c r="D33" s="7"/>
      <c r="E33" s="7"/>
      <c r="F33" s="4"/>
      <c r="G33" s="4"/>
      <c r="H33" s="4"/>
      <c r="I33" s="18"/>
      <c r="J33" s="18" t="str">
        <f xml:space="preserve">IF($C33="","",COUNTIFS(PESSOAS!$A$2:$A$600,$A33,PESSOAS!$C$2:$C$600,$C33,PESSOAS!$F$2:$F$600,"?*"))</f>
        <v/>
      </c>
      <c r="K33" s="18" t="str">
        <f xml:space="preserve">IF($C33="","",COUNTIFS(PESSOAS!$A$2:$A$600,$A33,PESSOAS!$C$2:$C$600,$C33,PESSOAS!$F$2:$F$600,"?*",PESSOAS!$D$2:$D$600,"?*"))</f>
        <v/>
      </c>
      <c r="L33" s="18" t="str">
        <f xml:space="preserve">IF($C33="","",COUNTIFS(PESSOAS!$A$2:$A$600,$A33,PESSOAS!$C$2:$C$600,$C33,PESSOAS!$K$2:$K$600,"Sem nome informado"))</f>
        <v/>
      </c>
      <c r="M33" s="18" t="str">
        <f t="shared" si="0"/>
        <v/>
      </c>
      <c r="N33" s="18" t="str">
        <f xml:space="preserve">IF($C33="","",COUNTIFS(VIATURAS!$G$2:$G$600,$C33))</f>
        <v/>
      </c>
    </row>
    <row r="34" ht="24" customHeight="1" spans="1:14">
      <c r="A34" s="5" t="s">
        <v>31</v>
      </c>
      <c r="B34" s="4"/>
      <c r="C34" s="17"/>
      <c r="D34" s="7"/>
      <c r="E34" s="7"/>
      <c r="F34" s="4"/>
      <c r="G34" s="4"/>
      <c r="H34" s="4"/>
      <c r="I34" s="18"/>
      <c r="J34" s="18" t="str">
        <f xml:space="preserve">IF($C34="","",COUNTIFS(PESSOAS!$A$2:$A$600,$A34,PESSOAS!$C$2:$C$600,$C34,PESSOAS!$F$2:$F$600,"?*"))</f>
        <v/>
      </c>
      <c r="K34" s="18" t="str">
        <f xml:space="preserve">IF($C34="","",COUNTIFS(PESSOAS!$A$2:$A$600,$A34,PESSOAS!$C$2:$C$600,$C34,PESSOAS!$F$2:$F$600,"?*",PESSOAS!$D$2:$D$600,"?*"))</f>
        <v/>
      </c>
      <c r="L34" s="18" t="str">
        <f xml:space="preserve">IF($C34="","",COUNTIFS(PESSOAS!$A$2:$A$600,$A34,PESSOAS!$C$2:$C$600,$C34,PESSOAS!$K$2:$K$600,"Sem nome informado"))</f>
        <v/>
      </c>
      <c r="M34" s="18" t="str">
        <f t="shared" si="0"/>
        <v/>
      </c>
      <c r="N34" s="18" t="str">
        <f xml:space="preserve">IF($C34="","",COUNTIFS(VIATURAS!$G$2:$G$600,$C34))</f>
        <v/>
      </c>
    </row>
    <row r="35" ht="24" customHeight="1" spans="1:14">
      <c r="A35" s="5" t="s">
        <v>31</v>
      </c>
      <c r="B35" s="4"/>
      <c r="C35" s="17"/>
      <c r="D35" s="7"/>
      <c r="E35" s="7"/>
      <c r="F35" s="4"/>
      <c r="G35" s="4"/>
      <c r="H35" s="4"/>
      <c r="I35" s="18"/>
      <c r="J35" s="18" t="str">
        <f xml:space="preserve">IF($C35="","",COUNTIFS(PESSOAS!$A$2:$A$600,$A35,PESSOAS!$C$2:$C$600,$C35,PESSOAS!$F$2:$F$600,"?*"))</f>
        <v/>
      </c>
      <c r="K35" s="18" t="str">
        <f xml:space="preserve">IF($C35="","",COUNTIFS(PESSOAS!$A$2:$A$600,$A35,PESSOAS!$C$2:$C$600,$C35,PESSOAS!$F$2:$F$600,"?*",PESSOAS!$D$2:$D$600,"?*"))</f>
        <v/>
      </c>
      <c r="L35" s="18" t="str">
        <f xml:space="preserve">IF($C35="","",COUNTIFS(PESSOAS!$A$2:$A$600,$A35,PESSOAS!$C$2:$C$600,$C35,PESSOAS!$K$2:$K$600,"Sem nome informado"))</f>
        <v/>
      </c>
      <c r="M35" s="18" t="str">
        <f t="shared" si="0"/>
        <v/>
      </c>
      <c r="N35" s="18" t="str">
        <f xml:space="preserve">IF($C35="","",COUNTIFS(VIATURAS!$G$2:$G$600,$C35))</f>
        <v/>
      </c>
    </row>
    <row r="36" ht="24" customHeight="1" spans="1:14">
      <c r="A36" s="5" t="s">
        <v>31</v>
      </c>
      <c r="B36" s="4"/>
      <c r="C36" s="17"/>
      <c r="D36" s="7"/>
      <c r="E36" s="7"/>
      <c r="F36" s="4"/>
      <c r="G36" s="4"/>
      <c r="H36" s="4"/>
      <c r="I36" s="18"/>
      <c r="J36" s="18" t="str">
        <f xml:space="preserve">IF($C36="","",COUNTIFS(PESSOAS!$A$2:$A$600,$A36,PESSOAS!$C$2:$C$600,$C36,PESSOAS!$F$2:$F$600,"?*"))</f>
        <v/>
      </c>
      <c r="K36" s="18" t="str">
        <f xml:space="preserve">IF($C36="","",COUNTIFS(PESSOAS!$A$2:$A$600,$A36,PESSOAS!$C$2:$C$600,$C36,PESSOAS!$F$2:$F$600,"?*",PESSOAS!$D$2:$D$600,"?*"))</f>
        <v/>
      </c>
      <c r="L36" s="18" t="str">
        <f xml:space="preserve">IF($C36="","",COUNTIFS(PESSOAS!$A$2:$A$600,$A36,PESSOAS!$C$2:$C$600,$C36,PESSOAS!$K$2:$K$600,"Sem nome informado"))</f>
        <v/>
      </c>
      <c r="M36" s="18" t="str">
        <f t="shared" si="0"/>
        <v/>
      </c>
      <c r="N36" s="18" t="str">
        <f xml:space="preserve">IF($C36="","",COUNTIFS(VIATURAS!$G$2:$G$600,$C36))</f>
        <v/>
      </c>
    </row>
    <row r="37" ht="24" customHeight="1" spans="1:14">
      <c r="A37" s="5" t="s">
        <v>31</v>
      </c>
      <c r="B37" s="4"/>
      <c r="C37" s="17"/>
      <c r="D37" s="7"/>
      <c r="E37" s="7"/>
      <c r="F37" s="4"/>
      <c r="G37" s="4"/>
      <c r="H37" s="4"/>
      <c r="I37" s="18"/>
      <c r="J37" s="18" t="str">
        <f xml:space="preserve">IF($C37="","",COUNTIFS(PESSOAS!$A$2:$A$600,$A37,PESSOAS!$C$2:$C$600,$C37,PESSOAS!$F$2:$F$600,"?*"))</f>
        <v/>
      </c>
      <c r="K37" s="18" t="str">
        <f xml:space="preserve">IF($C37="","",COUNTIFS(PESSOAS!$A$2:$A$600,$A37,PESSOAS!$C$2:$C$600,$C37,PESSOAS!$F$2:$F$600,"?*",PESSOAS!$D$2:$D$600,"?*"))</f>
        <v/>
      </c>
      <c r="L37" s="18" t="str">
        <f xml:space="preserve">IF($C37="","",COUNTIFS(PESSOAS!$A$2:$A$600,$A37,PESSOAS!$C$2:$C$600,$C37,PESSOAS!$K$2:$K$600,"Sem nome informado"))</f>
        <v/>
      </c>
      <c r="M37" s="18" t="str">
        <f t="shared" si="0"/>
        <v/>
      </c>
      <c r="N37" s="18" t="str">
        <f xml:space="preserve">IF($C37="","",COUNTIFS(VIATURAS!$G$2:$G$600,$C37))</f>
        <v/>
      </c>
    </row>
    <row r="38" ht="24" customHeight="1" spans="1:14">
      <c r="A38" s="5" t="s">
        <v>31</v>
      </c>
      <c r="B38" s="4"/>
      <c r="C38" s="17"/>
      <c r="D38" s="7"/>
      <c r="E38" s="7"/>
      <c r="F38" s="4"/>
      <c r="G38" s="4"/>
      <c r="H38" s="4"/>
      <c r="I38" s="18"/>
      <c r="J38" s="18" t="str">
        <f xml:space="preserve">IF($C38="","",COUNTIFS(PESSOAS!$A$2:$A$600,$A38,PESSOAS!$C$2:$C$600,$C38,PESSOAS!$F$2:$F$600,"?*"))</f>
        <v/>
      </c>
      <c r="K38" s="18" t="str">
        <f xml:space="preserve">IF($C38="","",COUNTIFS(PESSOAS!$A$2:$A$600,$A38,PESSOAS!$C$2:$C$600,$C38,PESSOAS!$F$2:$F$600,"?*",PESSOAS!$D$2:$D$600,"?*"))</f>
        <v/>
      </c>
      <c r="L38" s="18" t="str">
        <f xml:space="preserve">IF($C38="","",COUNTIFS(PESSOAS!$A$2:$A$600,$A38,PESSOAS!$C$2:$C$600,$C38,PESSOAS!$K$2:$K$600,"Sem nome informado"))</f>
        <v/>
      </c>
      <c r="M38" s="18" t="str">
        <f t="shared" si="0"/>
        <v/>
      </c>
      <c r="N38" s="18" t="str">
        <f xml:space="preserve">IF($C38="","",COUNTIFS(VIATURAS!$G$2:$G$600,$C38))</f>
        <v/>
      </c>
    </row>
    <row r="39" ht="24" customHeight="1" spans="1:14">
      <c r="A39" s="5" t="s">
        <v>31</v>
      </c>
      <c r="B39" s="4"/>
      <c r="C39" s="17"/>
      <c r="D39" s="7"/>
      <c r="E39" s="7"/>
      <c r="F39" s="4"/>
      <c r="G39" s="4"/>
      <c r="H39" s="4"/>
      <c r="I39" s="18"/>
      <c r="J39" s="18" t="str">
        <f xml:space="preserve">IF($C39="","",COUNTIFS(PESSOAS!$A$2:$A$600,$A39,PESSOAS!$C$2:$C$600,$C39,PESSOAS!$F$2:$F$600,"?*"))</f>
        <v/>
      </c>
      <c r="K39" s="18" t="str">
        <f xml:space="preserve">IF($C39="","",COUNTIFS(PESSOAS!$A$2:$A$600,$A39,PESSOAS!$C$2:$C$600,$C39,PESSOAS!$F$2:$F$600,"?*",PESSOAS!$D$2:$D$600,"?*"))</f>
        <v/>
      </c>
      <c r="L39" s="18" t="str">
        <f xml:space="preserve">IF($C39="","",COUNTIFS(PESSOAS!$A$2:$A$600,$A39,PESSOAS!$C$2:$C$600,$C39,PESSOAS!$K$2:$K$600,"Sem nome informado"))</f>
        <v/>
      </c>
      <c r="M39" s="18" t="str">
        <f t="shared" si="0"/>
        <v/>
      </c>
      <c r="N39" s="18" t="str">
        <f xml:space="preserve">IF($C39="","",COUNTIFS(VIATURAS!$G$2:$G$600,$C39))</f>
        <v/>
      </c>
    </row>
    <row r="40" ht="24" customHeight="1" spans="1:14">
      <c r="A40" s="5" t="s">
        <v>31</v>
      </c>
      <c r="B40" s="4"/>
      <c r="C40" s="17"/>
      <c r="D40" s="7"/>
      <c r="E40" s="7"/>
      <c r="F40" s="4"/>
      <c r="G40" s="4"/>
      <c r="H40" s="4"/>
      <c r="I40" s="18"/>
      <c r="J40" s="18" t="str">
        <f xml:space="preserve">IF($C40="","",COUNTIFS(PESSOAS!$A$2:$A$600,$A40,PESSOAS!$C$2:$C$600,$C40,PESSOAS!$F$2:$F$600,"?*"))</f>
        <v/>
      </c>
      <c r="K40" s="18" t="str">
        <f xml:space="preserve">IF($C40="","",COUNTIFS(PESSOAS!$A$2:$A$600,$A40,PESSOAS!$C$2:$C$600,$C40,PESSOAS!$F$2:$F$600,"?*",PESSOAS!$D$2:$D$600,"?*"))</f>
        <v/>
      </c>
      <c r="L40" s="18" t="str">
        <f xml:space="preserve">IF($C40="","",COUNTIFS(PESSOAS!$A$2:$A$600,$A40,PESSOAS!$C$2:$C$600,$C40,PESSOAS!$K$2:$K$600,"Sem nome informado"))</f>
        <v/>
      </c>
      <c r="M40" s="18" t="str">
        <f t="shared" si="0"/>
        <v/>
      </c>
      <c r="N40" s="18" t="str">
        <f xml:space="preserve">IF($C40="","",COUNTIFS(VIATURAS!$G$2:$G$600,$C40))</f>
        <v/>
      </c>
    </row>
    <row r="41" ht="24" customHeight="1" spans="1:14">
      <c r="A41" s="5" t="s">
        <v>31</v>
      </c>
      <c r="B41" s="4"/>
      <c r="C41" s="17"/>
      <c r="D41" s="7"/>
      <c r="E41" s="7"/>
      <c r="F41" s="4"/>
      <c r="G41" s="4"/>
      <c r="H41" s="4"/>
      <c r="I41" s="18"/>
      <c r="J41" s="18" t="str">
        <f xml:space="preserve">IF($C41="","",COUNTIFS(PESSOAS!$A$2:$A$600,$A41,PESSOAS!$C$2:$C$600,$C41,PESSOAS!$F$2:$F$600,"?*"))</f>
        <v/>
      </c>
      <c r="K41" s="18" t="str">
        <f xml:space="preserve">IF($C41="","",COUNTIFS(PESSOAS!$A$2:$A$600,$A41,PESSOAS!$C$2:$C$600,$C41,PESSOAS!$F$2:$F$600,"?*",PESSOAS!$D$2:$D$600,"?*"))</f>
        <v/>
      </c>
      <c r="L41" s="18" t="str">
        <f xml:space="preserve">IF($C41="","",COUNTIFS(PESSOAS!$A$2:$A$600,$A41,PESSOAS!$C$2:$C$600,$C41,PESSOAS!$K$2:$K$600,"Sem nome informado"))</f>
        <v/>
      </c>
      <c r="M41" s="18" t="str">
        <f t="shared" si="0"/>
        <v/>
      </c>
      <c r="N41" s="18" t="str">
        <f xml:space="preserve">IF($C41="","",COUNTIFS(VIATURAS!$G$2:$G$600,$C41))</f>
        <v/>
      </c>
    </row>
  </sheetData>
  <autoFilter xmlns:etc="http://www.wps.cn/officeDocument/2017/etCustomData" ref="A1:N41" etc:filterBottomFollowUsedRange="0">
    <extLst/>
  </autoFilter>
  <conditionalFormatting sqref="M2:M41">
    <cfRule type="expression" dxfId="0" priority="1">
      <formula>AND(ISNUMBER(M2),M2&gt;0)</formula>
    </cfRule>
  </conditionalFormatting>
  <dataValidations count="1">
    <dataValidation type="date" operator="greaterThan" allowBlank="1" showErrorMessage="1" errorTitle="Data" error="Digite a data como dd/mm/aaaa." sqref="D2:E71">
      <formula1>36526</formula1>
    </dataValidation>
  </dataValidations>
  <pageMargins left="0.4" right="0.4" top="1" bottom="1" header="0.5" footer="0.5"/>
  <pageSetup paperSize="9" fitToHeight="0" orientation="landscape"/>
  <headerFooter>
    <oddFooter>&amp;L&amp;8 Grupo Consominas · Equipes de campo&amp;R&amp;8 Página &amp;P de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A9E7F"/>
    <pageSetUpPr fitToPage="1"/>
  </sheetPr>
  <dimension ref="A1:S301"/>
  <sheetViews>
    <sheetView showGridLines="0" zoomScale="95" zoomScaleNormal="95" workbookViewId="0">
      <pane ySplit="1" topLeftCell="A2" activePane="bottomLeft" state="frozen"/>
      <selection/>
      <selection pane="bottomLeft" activeCell="A1" sqref="A1"/>
    </sheetView>
  </sheetViews>
  <sheetFormatPr defaultColWidth="9" defaultRowHeight="15.5"/>
  <cols>
    <col min="1" max="2" width="2" hidden="1" customWidth="1"/>
    <col min="3" max="3" width="30" customWidth="1"/>
    <col min="4" max="4" width="24" customWidth="1"/>
    <col min="5" max="5" width="16" customWidth="1"/>
    <col min="6" max="6" width="24" customWidth="1"/>
    <col min="7" max="9" width="2" hidden="1" customWidth="1"/>
    <col min="10" max="10" width="10" customWidth="1"/>
    <col min="11" max="11" width="2" hidden="1" customWidth="1"/>
    <col min="12" max="12" width="16" customWidth="1"/>
    <col min="13" max="18" width="2" hidden="1" customWidth="1"/>
    <col min="19" max="19" width="22" customWidth="1"/>
  </cols>
  <sheetData>
    <row r="1" ht="40" customHeight="1" spans="1:19">
      <c r="A1" s="2" t="s">
        <v>17</v>
      </c>
      <c r="B1" s="2" t="s">
        <v>18</v>
      </c>
      <c r="C1" s="1" t="s">
        <v>19</v>
      </c>
      <c r="D1" s="1" t="s">
        <v>32</v>
      </c>
      <c r="E1" s="1" t="s">
        <v>33</v>
      </c>
      <c r="F1" s="1" t="s">
        <v>34</v>
      </c>
      <c r="G1" s="2" t="s">
        <v>35</v>
      </c>
      <c r="H1" s="2" t="s">
        <v>36</v>
      </c>
      <c r="I1" s="2" t="s">
        <v>37</v>
      </c>
      <c r="J1" s="1" t="s">
        <v>38</v>
      </c>
      <c r="K1" s="2" t="s">
        <v>39</v>
      </c>
      <c r="L1" s="1" t="s">
        <v>25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1" t="s">
        <v>24</v>
      </c>
    </row>
    <row r="2" ht="24" customHeight="1" spans="1:19">
      <c r="A2" s="5" t="s">
        <v>31</v>
      </c>
      <c r="B2" s="5" t="str">
        <f xml:space="preserve">IF(C2="","",IFERROR(INDEX(EQUIPES!$B$2:$B$600,MATCH(C2,EQUIPES!$C$2:$C$600,0))&amp;"",""))</f>
        <v/>
      </c>
      <c r="C2" s="4"/>
      <c r="D2" s="4"/>
      <c r="E2" s="4"/>
      <c r="F2" s="4"/>
      <c r="G2" s="5"/>
      <c r="H2" s="5"/>
      <c r="I2" s="5"/>
      <c r="J2" s="4"/>
      <c r="K2" s="5"/>
      <c r="L2" s="4"/>
      <c r="M2" s="16"/>
      <c r="N2" s="16"/>
      <c r="O2" s="16"/>
      <c r="P2" s="5"/>
      <c r="Q2" s="16"/>
      <c r="R2" s="5"/>
      <c r="S2" s="15"/>
    </row>
    <row r="3" ht="24" customHeight="1" spans="1:19">
      <c r="A3" s="5" t="s">
        <v>31</v>
      </c>
      <c r="B3" s="5" t="str">
        <f xml:space="preserve">IF(C3="","",IFERROR(INDEX(EQUIPES!$B$2:$B$600,MATCH(C3,EQUIPES!$C$2:$C$600,0))&amp;"",""))</f>
        <v/>
      </c>
      <c r="C3" s="4"/>
      <c r="D3" s="4"/>
      <c r="E3" s="4"/>
      <c r="F3" s="4"/>
      <c r="G3" s="5"/>
      <c r="H3" s="5"/>
      <c r="I3" s="5"/>
      <c r="J3" s="4"/>
      <c r="K3" s="5"/>
      <c r="L3" s="4"/>
      <c r="M3" s="16"/>
      <c r="N3" s="16"/>
      <c r="O3" s="16"/>
      <c r="P3" s="5"/>
      <c r="Q3" s="16"/>
      <c r="R3" s="5"/>
      <c r="S3" s="15"/>
    </row>
    <row r="4" ht="24" customHeight="1" spans="1:19">
      <c r="A4" s="5" t="s">
        <v>31</v>
      </c>
      <c r="B4" s="5" t="str">
        <f xml:space="preserve">IF(C4="","",IFERROR(INDEX(EQUIPES!$B$2:$B$600,MATCH(C4,EQUIPES!$C$2:$C$600,0))&amp;"",""))</f>
        <v/>
      </c>
      <c r="C4" s="4"/>
      <c r="D4" s="4"/>
      <c r="E4" s="4"/>
      <c r="F4" s="4"/>
      <c r="G4" s="5"/>
      <c r="H4" s="5"/>
      <c r="I4" s="5"/>
      <c r="J4" s="4"/>
      <c r="K4" s="5"/>
      <c r="L4" s="4"/>
      <c r="M4" s="16"/>
      <c r="N4" s="16"/>
      <c r="O4" s="16"/>
      <c r="P4" s="5"/>
      <c r="Q4" s="16"/>
      <c r="R4" s="5"/>
      <c r="S4" s="15"/>
    </row>
    <row r="5" ht="24" customHeight="1" spans="1:19">
      <c r="A5" s="5" t="s">
        <v>31</v>
      </c>
      <c r="B5" s="5" t="str">
        <f xml:space="preserve">IF(C5="","",IFERROR(INDEX(EQUIPES!$B$2:$B$600,MATCH(C5,EQUIPES!$C$2:$C$600,0))&amp;"",""))</f>
        <v/>
      </c>
      <c r="C5" s="4"/>
      <c r="D5" s="4"/>
      <c r="E5" s="4"/>
      <c r="F5" s="4"/>
      <c r="G5" s="5"/>
      <c r="H5" s="5"/>
      <c r="I5" s="5"/>
      <c r="J5" s="4"/>
      <c r="K5" s="5"/>
      <c r="L5" s="4"/>
      <c r="M5" s="16"/>
      <c r="N5" s="16"/>
      <c r="O5" s="16"/>
      <c r="P5" s="5"/>
      <c r="Q5" s="16"/>
      <c r="R5" s="5"/>
      <c r="S5" s="15"/>
    </row>
    <row r="6" ht="24" customHeight="1" spans="1:19">
      <c r="A6" s="5" t="s">
        <v>31</v>
      </c>
      <c r="B6" s="5" t="str">
        <f xml:space="preserve">IF(C6="","",IFERROR(INDEX(EQUIPES!$B$2:$B$600,MATCH(C6,EQUIPES!$C$2:$C$600,0))&amp;"",""))</f>
        <v/>
      </c>
      <c r="C6" s="4"/>
      <c r="D6" s="4"/>
      <c r="E6" s="4"/>
      <c r="F6" s="4"/>
      <c r="G6" s="5"/>
      <c r="H6" s="5"/>
      <c r="I6" s="5"/>
      <c r="J6" s="4"/>
      <c r="K6" s="5"/>
      <c r="L6" s="4"/>
      <c r="M6" s="16"/>
      <c r="N6" s="16"/>
      <c r="O6" s="16"/>
      <c r="P6" s="5"/>
      <c r="Q6" s="16"/>
      <c r="R6" s="5"/>
      <c r="S6" s="15"/>
    </row>
    <row r="7" ht="24" customHeight="1" spans="1:19">
      <c r="A7" s="5" t="s">
        <v>31</v>
      </c>
      <c r="B7" s="5" t="str">
        <f xml:space="preserve">IF(C7="","",IFERROR(INDEX(EQUIPES!$B$2:$B$600,MATCH(C7,EQUIPES!$C$2:$C$600,0))&amp;"",""))</f>
        <v/>
      </c>
      <c r="C7" s="4"/>
      <c r="D7" s="4"/>
      <c r="E7" s="4"/>
      <c r="F7" s="4"/>
      <c r="G7" s="5"/>
      <c r="H7" s="5"/>
      <c r="I7" s="5"/>
      <c r="J7" s="4"/>
      <c r="K7" s="5"/>
      <c r="L7" s="4"/>
      <c r="M7" s="16"/>
      <c r="N7" s="16"/>
      <c r="O7" s="16"/>
      <c r="P7" s="5"/>
      <c r="Q7" s="16"/>
      <c r="R7" s="5"/>
      <c r="S7" s="15"/>
    </row>
    <row r="8" ht="24" customHeight="1" spans="1:19">
      <c r="A8" s="5" t="s">
        <v>31</v>
      </c>
      <c r="B8" s="5" t="str">
        <f xml:space="preserve">IF(C8="","",IFERROR(INDEX(EQUIPES!$B$2:$B$600,MATCH(C8,EQUIPES!$C$2:$C$600,0))&amp;"",""))</f>
        <v/>
      </c>
      <c r="C8" s="4"/>
      <c r="D8" s="4"/>
      <c r="E8" s="4"/>
      <c r="F8" s="4"/>
      <c r="G8" s="5"/>
      <c r="H8" s="5"/>
      <c r="I8" s="5"/>
      <c r="J8" s="4"/>
      <c r="K8" s="5"/>
      <c r="L8" s="4"/>
      <c r="M8" s="16"/>
      <c r="N8" s="16"/>
      <c r="O8" s="16"/>
      <c r="P8" s="5"/>
      <c r="Q8" s="16"/>
      <c r="R8" s="5"/>
      <c r="S8" s="15"/>
    </row>
    <row r="9" ht="24" customHeight="1" spans="1:19">
      <c r="A9" s="5" t="s">
        <v>31</v>
      </c>
      <c r="B9" s="5" t="str">
        <f xml:space="preserve">IF(C9="","",IFERROR(INDEX(EQUIPES!$B$2:$B$600,MATCH(C9,EQUIPES!$C$2:$C$600,0))&amp;"",""))</f>
        <v/>
      </c>
      <c r="C9" s="4"/>
      <c r="D9" s="4"/>
      <c r="E9" s="4"/>
      <c r="F9" s="4"/>
      <c r="G9" s="5"/>
      <c r="H9" s="5"/>
      <c r="I9" s="5"/>
      <c r="J9" s="4"/>
      <c r="K9" s="5"/>
      <c r="L9" s="4"/>
      <c r="M9" s="16"/>
      <c r="N9" s="16"/>
      <c r="O9" s="16"/>
      <c r="P9" s="5"/>
      <c r="Q9" s="16"/>
      <c r="R9" s="5"/>
      <c r="S9" s="15"/>
    </row>
    <row r="10" ht="24" customHeight="1" spans="1:19">
      <c r="A10" s="5" t="s">
        <v>31</v>
      </c>
      <c r="B10" s="5" t="str">
        <f xml:space="preserve">IF(C10="","",IFERROR(INDEX(EQUIPES!$B$2:$B$600,MATCH(C10,EQUIPES!$C$2:$C$600,0))&amp;"",""))</f>
        <v/>
      </c>
      <c r="C10" s="4"/>
      <c r="D10" s="4"/>
      <c r="E10" s="4"/>
      <c r="F10" s="4"/>
      <c r="G10" s="5"/>
      <c r="H10" s="5"/>
      <c r="I10" s="5"/>
      <c r="J10" s="4"/>
      <c r="K10" s="5"/>
      <c r="L10" s="4"/>
      <c r="M10" s="16"/>
      <c r="N10" s="16"/>
      <c r="O10" s="16"/>
      <c r="P10" s="5"/>
      <c r="Q10" s="16"/>
      <c r="R10" s="5"/>
      <c r="S10" s="15"/>
    </row>
    <row r="11" ht="24" customHeight="1" spans="1:19">
      <c r="A11" s="5" t="s">
        <v>31</v>
      </c>
      <c r="B11" s="5" t="str">
        <f xml:space="preserve">IF(C11="","",IFERROR(INDEX(EQUIPES!$B$2:$B$600,MATCH(C11,EQUIPES!$C$2:$C$600,0))&amp;"",""))</f>
        <v/>
      </c>
      <c r="C11" s="4"/>
      <c r="D11" s="4"/>
      <c r="E11" s="4"/>
      <c r="F11" s="4"/>
      <c r="G11" s="5"/>
      <c r="H11" s="5"/>
      <c r="I11" s="5"/>
      <c r="J11" s="4"/>
      <c r="K11" s="5"/>
      <c r="L11" s="4"/>
      <c r="M11" s="16"/>
      <c r="N11" s="16"/>
      <c r="O11" s="16"/>
      <c r="P11" s="5"/>
      <c r="Q11" s="16"/>
      <c r="R11" s="5"/>
      <c r="S11" s="15"/>
    </row>
    <row r="12" ht="24" customHeight="1" spans="1:19">
      <c r="A12" s="5" t="s">
        <v>31</v>
      </c>
      <c r="B12" s="5" t="str">
        <f xml:space="preserve">IF(C12="","",IFERROR(INDEX(EQUIPES!$B$2:$B$600,MATCH(C12,EQUIPES!$C$2:$C$600,0))&amp;"",""))</f>
        <v/>
      </c>
      <c r="C12" s="4"/>
      <c r="D12" s="4"/>
      <c r="E12" s="4"/>
      <c r="F12" s="4"/>
      <c r="G12" s="5"/>
      <c r="H12" s="5"/>
      <c r="I12" s="5"/>
      <c r="J12" s="4"/>
      <c r="K12" s="5"/>
      <c r="L12" s="4"/>
      <c r="M12" s="16"/>
      <c r="N12" s="16"/>
      <c r="O12" s="16"/>
      <c r="P12" s="5"/>
      <c r="Q12" s="16"/>
      <c r="R12" s="5"/>
      <c r="S12" s="15"/>
    </row>
    <row r="13" ht="24" customHeight="1" spans="1:19">
      <c r="A13" s="5" t="s">
        <v>31</v>
      </c>
      <c r="B13" s="5" t="str">
        <f xml:space="preserve">IF(C13="","",IFERROR(INDEX(EQUIPES!$B$2:$B$600,MATCH(C13,EQUIPES!$C$2:$C$600,0))&amp;"",""))</f>
        <v/>
      </c>
      <c r="C13" s="4"/>
      <c r="D13" s="4"/>
      <c r="E13" s="4"/>
      <c r="F13" s="4"/>
      <c r="G13" s="5"/>
      <c r="H13" s="5"/>
      <c r="I13" s="5"/>
      <c r="J13" s="4"/>
      <c r="K13" s="5"/>
      <c r="L13" s="4"/>
      <c r="M13" s="16"/>
      <c r="N13" s="16"/>
      <c r="O13" s="16"/>
      <c r="P13" s="5"/>
      <c r="Q13" s="16"/>
      <c r="R13" s="5"/>
      <c r="S13" s="15"/>
    </row>
    <row r="14" ht="24" customHeight="1" spans="1:19">
      <c r="A14" s="5" t="s">
        <v>31</v>
      </c>
      <c r="B14" s="5" t="str">
        <f xml:space="preserve">IF(C14="","",IFERROR(INDEX(EQUIPES!$B$2:$B$600,MATCH(C14,EQUIPES!$C$2:$C$600,0))&amp;"",""))</f>
        <v/>
      </c>
      <c r="C14" s="4"/>
      <c r="D14" s="4"/>
      <c r="E14" s="4"/>
      <c r="F14" s="4"/>
      <c r="G14" s="5"/>
      <c r="H14" s="5"/>
      <c r="I14" s="5"/>
      <c r="J14" s="4"/>
      <c r="K14" s="5"/>
      <c r="L14" s="4"/>
      <c r="M14" s="16"/>
      <c r="N14" s="16"/>
      <c r="O14" s="16"/>
      <c r="P14" s="5"/>
      <c r="Q14" s="16"/>
      <c r="R14" s="5"/>
      <c r="S14" s="15"/>
    </row>
    <row r="15" ht="24" customHeight="1" spans="1:19">
      <c r="A15" s="5" t="s">
        <v>31</v>
      </c>
      <c r="B15" s="5" t="str">
        <f xml:space="preserve">IF(C15="","",IFERROR(INDEX(EQUIPES!$B$2:$B$600,MATCH(C15,EQUIPES!$C$2:$C$600,0))&amp;"",""))</f>
        <v/>
      </c>
      <c r="C15" s="4"/>
      <c r="D15" s="4"/>
      <c r="E15" s="4"/>
      <c r="F15" s="4"/>
      <c r="G15" s="5"/>
      <c r="H15" s="5"/>
      <c r="I15" s="5"/>
      <c r="J15" s="4"/>
      <c r="K15" s="5"/>
      <c r="L15" s="4"/>
      <c r="M15" s="16"/>
      <c r="N15" s="16"/>
      <c r="O15" s="16"/>
      <c r="P15" s="5"/>
      <c r="Q15" s="16"/>
      <c r="R15" s="5"/>
      <c r="S15" s="15"/>
    </row>
    <row r="16" ht="24" customHeight="1" spans="1:19">
      <c r="A16" s="5" t="s">
        <v>31</v>
      </c>
      <c r="B16" s="5" t="str">
        <f xml:space="preserve">IF(C16="","",IFERROR(INDEX(EQUIPES!$B$2:$B$600,MATCH(C16,EQUIPES!$C$2:$C$600,0))&amp;"",""))</f>
        <v/>
      </c>
      <c r="C16" s="4"/>
      <c r="D16" s="4"/>
      <c r="E16" s="4"/>
      <c r="F16" s="4"/>
      <c r="G16" s="5"/>
      <c r="H16" s="5"/>
      <c r="I16" s="5"/>
      <c r="J16" s="4"/>
      <c r="K16" s="5"/>
      <c r="L16" s="4"/>
      <c r="M16" s="16"/>
      <c r="N16" s="16"/>
      <c r="O16" s="16"/>
      <c r="P16" s="5"/>
      <c r="Q16" s="16"/>
      <c r="R16" s="5"/>
      <c r="S16" s="15"/>
    </row>
    <row r="17" ht="24" customHeight="1" spans="1:19">
      <c r="A17" s="5" t="s">
        <v>31</v>
      </c>
      <c r="B17" s="5" t="str">
        <f xml:space="preserve">IF(C17="","",IFERROR(INDEX(EQUIPES!$B$2:$B$600,MATCH(C17,EQUIPES!$C$2:$C$600,0))&amp;"",""))</f>
        <v/>
      </c>
      <c r="C17" s="4"/>
      <c r="D17" s="4"/>
      <c r="E17" s="4"/>
      <c r="F17" s="4"/>
      <c r="G17" s="5"/>
      <c r="H17" s="5"/>
      <c r="I17" s="5"/>
      <c r="J17" s="4"/>
      <c r="K17" s="5"/>
      <c r="L17" s="4"/>
      <c r="M17" s="16"/>
      <c r="N17" s="16"/>
      <c r="O17" s="16"/>
      <c r="P17" s="5"/>
      <c r="Q17" s="16"/>
      <c r="R17" s="5"/>
      <c r="S17" s="15"/>
    </row>
    <row r="18" ht="24" customHeight="1" spans="1:19">
      <c r="A18" s="5" t="s">
        <v>31</v>
      </c>
      <c r="B18" s="5" t="str">
        <f xml:space="preserve">IF(C18="","",IFERROR(INDEX(EQUIPES!$B$2:$B$600,MATCH(C18,EQUIPES!$C$2:$C$600,0))&amp;"",""))</f>
        <v/>
      </c>
      <c r="C18" s="4"/>
      <c r="D18" s="4"/>
      <c r="E18" s="4"/>
      <c r="F18" s="4"/>
      <c r="G18" s="5"/>
      <c r="H18" s="5"/>
      <c r="I18" s="5"/>
      <c r="J18" s="4"/>
      <c r="K18" s="5"/>
      <c r="L18" s="4"/>
      <c r="M18" s="16"/>
      <c r="N18" s="16"/>
      <c r="O18" s="16"/>
      <c r="P18" s="5"/>
      <c r="Q18" s="16"/>
      <c r="R18" s="5"/>
      <c r="S18" s="15"/>
    </row>
    <row r="19" ht="24" customHeight="1" spans="1:19">
      <c r="A19" s="5" t="s">
        <v>31</v>
      </c>
      <c r="B19" s="5" t="str">
        <f xml:space="preserve">IF(C19="","",IFERROR(INDEX(EQUIPES!$B$2:$B$600,MATCH(C19,EQUIPES!$C$2:$C$600,0))&amp;"",""))</f>
        <v/>
      </c>
      <c r="C19" s="4"/>
      <c r="D19" s="4"/>
      <c r="E19" s="4"/>
      <c r="F19" s="4"/>
      <c r="G19" s="5"/>
      <c r="H19" s="5"/>
      <c r="I19" s="5"/>
      <c r="J19" s="4"/>
      <c r="K19" s="5"/>
      <c r="L19" s="4"/>
      <c r="M19" s="16"/>
      <c r="N19" s="16"/>
      <c r="O19" s="16"/>
      <c r="P19" s="5"/>
      <c r="Q19" s="16"/>
      <c r="R19" s="5"/>
      <c r="S19" s="15"/>
    </row>
    <row r="20" ht="24" customHeight="1" spans="1:19">
      <c r="A20" s="5" t="s">
        <v>31</v>
      </c>
      <c r="B20" s="5" t="str">
        <f xml:space="preserve">IF(C20="","",IFERROR(INDEX(EQUIPES!$B$2:$B$600,MATCH(C20,EQUIPES!$C$2:$C$600,0))&amp;"",""))</f>
        <v/>
      </c>
      <c r="C20" s="4"/>
      <c r="D20" s="4"/>
      <c r="E20" s="4"/>
      <c r="F20" s="4"/>
      <c r="G20" s="5"/>
      <c r="H20" s="5"/>
      <c r="I20" s="5"/>
      <c r="J20" s="4"/>
      <c r="K20" s="5"/>
      <c r="L20" s="4"/>
      <c r="M20" s="16"/>
      <c r="N20" s="16"/>
      <c r="O20" s="16"/>
      <c r="P20" s="5"/>
      <c r="Q20" s="16"/>
      <c r="R20" s="5"/>
      <c r="S20" s="15"/>
    </row>
    <row r="21" ht="24" customHeight="1" spans="1:19">
      <c r="A21" s="5" t="s">
        <v>31</v>
      </c>
      <c r="B21" s="5" t="str">
        <f xml:space="preserve">IF(C21="","",IFERROR(INDEX(EQUIPES!$B$2:$B$600,MATCH(C21,EQUIPES!$C$2:$C$600,0))&amp;"",""))</f>
        <v/>
      </c>
      <c r="C21" s="4"/>
      <c r="D21" s="4"/>
      <c r="E21" s="4"/>
      <c r="F21" s="4"/>
      <c r="G21" s="5"/>
      <c r="H21" s="5"/>
      <c r="I21" s="5"/>
      <c r="J21" s="4"/>
      <c r="K21" s="5"/>
      <c r="L21" s="4"/>
      <c r="M21" s="16"/>
      <c r="N21" s="16"/>
      <c r="O21" s="16"/>
      <c r="P21" s="5"/>
      <c r="Q21" s="16"/>
      <c r="R21" s="5"/>
      <c r="S21" s="15"/>
    </row>
    <row r="22" ht="24" customHeight="1" spans="1:19">
      <c r="A22" s="5" t="s">
        <v>31</v>
      </c>
      <c r="B22" s="5" t="str">
        <f xml:space="preserve">IF(C22="","",IFERROR(INDEX(EQUIPES!$B$2:$B$600,MATCH(C22,EQUIPES!$C$2:$C$600,0))&amp;"",""))</f>
        <v/>
      </c>
      <c r="C22" s="4"/>
      <c r="D22" s="4"/>
      <c r="E22" s="4"/>
      <c r="F22" s="4"/>
      <c r="G22" s="5"/>
      <c r="H22" s="5"/>
      <c r="I22" s="5"/>
      <c r="J22" s="4"/>
      <c r="K22" s="5"/>
      <c r="L22" s="4"/>
      <c r="M22" s="16"/>
      <c r="N22" s="16"/>
      <c r="O22" s="16"/>
      <c r="P22" s="5"/>
      <c r="Q22" s="16"/>
      <c r="R22" s="5"/>
      <c r="S22" s="15"/>
    </row>
    <row r="23" ht="24" customHeight="1" spans="1:19">
      <c r="A23" s="5" t="s">
        <v>31</v>
      </c>
      <c r="B23" s="5" t="str">
        <f xml:space="preserve">IF(C23="","",IFERROR(INDEX(EQUIPES!$B$2:$B$600,MATCH(C23,EQUIPES!$C$2:$C$600,0))&amp;"",""))</f>
        <v/>
      </c>
      <c r="C23" s="4"/>
      <c r="D23" s="4"/>
      <c r="E23" s="4"/>
      <c r="F23" s="4"/>
      <c r="G23" s="5"/>
      <c r="H23" s="5"/>
      <c r="I23" s="5"/>
      <c r="J23" s="4"/>
      <c r="K23" s="5"/>
      <c r="L23" s="4"/>
      <c r="M23" s="16"/>
      <c r="N23" s="16"/>
      <c r="O23" s="16"/>
      <c r="P23" s="5"/>
      <c r="Q23" s="16"/>
      <c r="R23" s="5"/>
      <c r="S23" s="15"/>
    </row>
    <row r="24" ht="24" customHeight="1" spans="1:19">
      <c r="A24" s="5" t="s">
        <v>31</v>
      </c>
      <c r="B24" s="5" t="str">
        <f xml:space="preserve">IF(C24="","",IFERROR(INDEX(EQUIPES!$B$2:$B$600,MATCH(C24,EQUIPES!$C$2:$C$600,0))&amp;"",""))</f>
        <v/>
      </c>
      <c r="C24" s="4"/>
      <c r="D24" s="4"/>
      <c r="E24" s="4"/>
      <c r="F24" s="4"/>
      <c r="G24" s="5"/>
      <c r="H24" s="5"/>
      <c r="I24" s="5"/>
      <c r="J24" s="4"/>
      <c r="K24" s="5"/>
      <c r="L24" s="4"/>
      <c r="M24" s="16"/>
      <c r="N24" s="16"/>
      <c r="O24" s="16"/>
      <c r="P24" s="5"/>
      <c r="Q24" s="16"/>
      <c r="R24" s="5"/>
      <c r="S24" s="15"/>
    </row>
    <row r="25" ht="24" customHeight="1" spans="1:19">
      <c r="A25" s="5" t="s">
        <v>31</v>
      </c>
      <c r="B25" s="5" t="str">
        <f xml:space="preserve">IF(C25="","",IFERROR(INDEX(EQUIPES!$B$2:$B$600,MATCH(C25,EQUIPES!$C$2:$C$600,0))&amp;"",""))</f>
        <v/>
      </c>
      <c r="C25" s="4"/>
      <c r="D25" s="4"/>
      <c r="E25" s="4"/>
      <c r="F25" s="4"/>
      <c r="G25" s="5"/>
      <c r="H25" s="5"/>
      <c r="I25" s="5"/>
      <c r="J25" s="4"/>
      <c r="K25" s="5"/>
      <c r="L25" s="4"/>
      <c r="M25" s="16"/>
      <c r="N25" s="16"/>
      <c r="O25" s="16"/>
      <c r="P25" s="5"/>
      <c r="Q25" s="16"/>
      <c r="R25" s="5"/>
      <c r="S25" s="15"/>
    </row>
    <row r="26" ht="24" customHeight="1" spans="1:19">
      <c r="A26" s="5" t="s">
        <v>31</v>
      </c>
      <c r="B26" s="5" t="str">
        <f xml:space="preserve">IF(C26="","",IFERROR(INDEX(EQUIPES!$B$2:$B$600,MATCH(C26,EQUIPES!$C$2:$C$600,0))&amp;"",""))</f>
        <v/>
      </c>
      <c r="C26" s="4"/>
      <c r="D26" s="4"/>
      <c r="E26" s="4"/>
      <c r="F26" s="4"/>
      <c r="G26" s="5"/>
      <c r="H26" s="5"/>
      <c r="I26" s="5"/>
      <c r="J26" s="4"/>
      <c r="K26" s="5"/>
      <c r="L26" s="4"/>
      <c r="M26" s="16"/>
      <c r="N26" s="16"/>
      <c r="O26" s="16"/>
      <c r="P26" s="5"/>
      <c r="Q26" s="16"/>
      <c r="R26" s="5"/>
      <c r="S26" s="15"/>
    </row>
    <row r="27" ht="24" customHeight="1" spans="1:19">
      <c r="A27" s="5" t="s">
        <v>31</v>
      </c>
      <c r="B27" s="5" t="str">
        <f xml:space="preserve">IF(C27="","",IFERROR(INDEX(EQUIPES!$B$2:$B$600,MATCH(C27,EQUIPES!$C$2:$C$600,0))&amp;"",""))</f>
        <v/>
      </c>
      <c r="C27" s="4"/>
      <c r="D27" s="4"/>
      <c r="E27" s="4"/>
      <c r="F27" s="4"/>
      <c r="G27" s="5"/>
      <c r="H27" s="5"/>
      <c r="I27" s="5"/>
      <c r="J27" s="4"/>
      <c r="K27" s="5"/>
      <c r="L27" s="4"/>
      <c r="M27" s="16"/>
      <c r="N27" s="16"/>
      <c r="O27" s="16"/>
      <c r="P27" s="5"/>
      <c r="Q27" s="16"/>
      <c r="R27" s="5"/>
      <c r="S27" s="15"/>
    </row>
    <row r="28" ht="24" customHeight="1" spans="1:19">
      <c r="A28" s="5" t="s">
        <v>31</v>
      </c>
      <c r="B28" s="5" t="str">
        <f xml:space="preserve">IF(C28="","",IFERROR(INDEX(EQUIPES!$B$2:$B$600,MATCH(C28,EQUIPES!$C$2:$C$600,0))&amp;"",""))</f>
        <v/>
      </c>
      <c r="C28" s="4"/>
      <c r="D28" s="4"/>
      <c r="E28" s="4"/>
      <c r="F28" s="4"/>
      <c r="G28" s="5"/>
      <c r="H28" s="5"/>
      <c r="I28" s="5"/>
      <c r="J28" s="4"/>
      <c r="K28" s="5"/>
      <c r="L28" s="4"/>
      <c r="M28" s="16"/>
      <c r="N28" s="16"/>
      <c r="O28" s="16"/>
      <c r="P28" s="5"/>
      <c r="Q28" s="16"/>
      <c r="R28" s="5"/>
      <c r="S28" s="15"/>
    </row>
    <row r="29" ht="24" customHeight="1" spans="1:19">
      <c r="A29" s="5" t="s">
        <v>31</v>
      </c>
      <c r="B29" s="5" t="str">
        <f xml:space="preserve">IF(C29="","",IFERROR(INDEX(EQUIPES!$B$2:$B$600,MATCH(C29,EQUIPES!$C$2:$C$600,0))&amp;"",""))</f>
        <v/>
      </c>
      <c r="C29" s="4"/>
      <c r="D29" s="4"/>
      <c r="E29" s="4"/>
      <c r="F29" s="4"/>
      <c r="G29" s="5"/>
      <c r="H29" s="5"/>
      <c r="I29" s="5"/>
      <c r="J29" s="4"/>
      <c r="K29" s="5"/>
      <c r="L29" s="4"/>
      <c r="M29" s="16"/>
      <c r="N29" s="16"/>
      <c r="O29" s="16"/>
      <c r="P29" s="5"/>
      <c r="Q29" s="16"/>
      <c r="R29" s="5"/>
      <c r="S29" s="15"/>
    </row>
    <row r="30" ht="24" customHeight="1" spans="1:19">
      <c r="A30" s="5" t="s">
        <v>31</v>
      </c>
      <c r="B30" s="5" t="str">
        <f xml:space="preserve">IF(C30="","",IFERROR(INDEX(EQUIPES!$B$2:$B$600,MATCH(C30,EQUIPES!$C$2:$C$600,0))&amp;"",""))</f>
        <v/>
      </c>
      <c r="C30" s="4"/>
      <c r="D30" s="4"/>
      <c r="E30" s="4"/>
      <c r="F30" s="4"/>
      <c r="G30" s="5"/>
      <c r="H30" s="5"/>
      <c r="I30" s="5"/>
      <c r="J30" s="4"/>
      <c r="K30" s="5"/>
      <c r="L30" s="4"/>
      <c r="M30" s="16"/>
      <c r="N30" s="16"/>
      <c r="O30" s="16"/>
      <c r="P30" s="5"/>
      <c r="Q30" s="16"/>
      <c r="R30" s="5"/>
      <c r="S30" s="15"/>
    </row>
    <row r="31" ht="24" customHeight="1" spans="1:19">
      <c r="A31" s="5" t="s">
        <v>31</v>
      </c>
      <c r="B31" s="5" t="str">
        <f xml:space="preserve">IF(C31="","",IFERROR(INDEX(EQUIPES!$B$2:$B$600,MATCH(C31,EQUIPES!$C$2:$C$600,0))&amp;"",""))</f>
        <v/>
      </c>
      <c r="C31" s="4"/>
      <c r="D31" s="4"/>
      <c r="E31" s="4"/>
      <c r="F31" s="4"/>
      <c r="G31" s="5"/>
      <c r="H31" s="5"/>
      <c r="I31" s="5"/>
      <c r="J31" s="4"/>
      <c r="K31" s="5"/>
      <c r="L31" s="4"/>
      <c r="M31" s="16"/>
      <c r="N31" s="16"/>
      <c r="O31" s="16"/>
      <c r="P31" s="5"/>
      <c r="Q31" s="16"/>
      <c r="R31" s="5"/>
      <c r="S31" s="15"/>
    </row>
    <row r="32" ht="24" customHeight="1" spans="1:19">
      <c r="A32" s="5" t="s">
        <v>31</v>
      </c>
      <c r="B32" s="5" t="str">
        <f xml:space="preserve">IF(C32="","",IFERROR(INDEX(EQUIPES!$B$2:$B$600,MATCH(C32,EQUIPES!$C$2:$C$600,0))&amp;"",""))</f>
        <v/>
      </c>
      <c r="C32" s="4"/>
      <c r="D32" s="4"/>
      <c r="E32" s="4"/>
      <c r="F32" s="4"/>
      <c r="G32" s="5"/>
      <c r="H32" s="5"/>
      <c r="I32" s="5"/>
      <c r="J32" s="4"/>
      <c r="K32" s="5"/>
      <c r="L32" s="4"/>
      <c r="M32" s="16"/>
      <c r="N32" s="16"/>
      <c r="O32" s="16"/>
      <c r="P32" s="5"/>
      <c r="Q32" s="16"/>
      <c r="R32" s="5"/>
      <c r="S32" s="15"/>
    </row>
    <row r="33" ht="24" customHeight="1" spans="1:19">
      <c r="A33" s="5" t="s">
        <v>31</v>
      </c>
      <c r="B33" s="5" t="str">
        <f xml:space="preserve">IF(C33="","",IFERROR(INDEX(EQUIPES!$B$2:$B$600,MATCH(C33,EQUIPES!$C$2:$C$600,0))&amp;"",""))</f>
        <v/>
      </c>
      <c r="C33" s="4"/>
      <c r="D33" s="4"/>
      <c r="E33" s="4"/>
      <c r="F33" s="4"/>
      <c r="G33" s="5"/>
      <c r="H33" s="5"/>
      <c r="I33" s="5"/>
      <c r="J33" s="4"/>
      <c r="K33" s="5"/>
      <c r="L33" s="4"/>
      <c r="M33" s="16"/>
      <c r="N33" s="16"/>
      <c r="O33" s="16"/>
      <c r="P33" s="5"/>
      <c r="Q33" s="16"/>
      <c r="R33" s="5"/>
      <c r="S33" s="15"/>
    </row>
    <row r="34" ht="24" customHeight="1" spans="1:19">
      <c r="A34" s="5" t="s">
        <v>31</v>
      </c>
      <c r="B34" s="5" t="str">
        <f xml:space="preserve">IF(C34="","",IFERROR(INDEX(EQUIPES!$B$2:$B$600,MATCH(C34,EQUIPES!$C$2:$C$600,0))&amp;"",""))</f>
        <v/>
      </c>
      <c r="C34" s="4"/>
      <c r="D34" s="4"/>
      <c r="E34" s="4"/>
      <c r="F34" s="4"/>
      <c r="G34" s="5"/>
      <c r="H34" s="5"/>
      <c r="I34" s="5"/>
      <c r="J34" s="4"/>
      <c r="K34" s="5"/>
      <c r="L34" s="4"/>
      <c r="M34" s="16"/>
      <c r="N34" s="16"/>
      <c r="O34" s="16"/>
      <c r="P34" s="5"/>
      <c r="Q34" s="16"/>
      <c r="R34" s="5"/>
      <c r="S34" s="15"/>
    </row>
    <row r="35" ht="24" customHeight="1" spans="1:19">
      <c r="A35" s="5" t="s">
        <v>31</v>
      </c>
      <c r="B35" s="5" t="str">
        <f xml:space="preserve">IF(C35="","",IFERROR(INDEX(EQUIPES!$B$2:$B$600,MATCH(C35,EQUIPES!$C$2:$C$600,0))&amp;"",""))</f>
        <v/>
      </c>
      <c r="C35" s="4"/>
      <c r="D35" s="4"/>
      <c r="E35" s="4"/>
      <c r="F35" s="4"/>
      <c r="G35" s="5"/>
      <c r="H35" s="5"/>
      <c r="I35" s="5"/>
      <c r="J35" s="4"/>
      <c r="K35" s="5"/>
      <c r="L35" s="4"/>
      <c r="M35" s="16"/>
      <c r="N35" s="16"/>
      <c r="O35" s="16"/>
      <c r="P35" s="5"/>
      <c r="Q35" s="16"/>
      <c r="R35" s="5"/>
      <c r="S35" s="15"/>
    </row>
    <row r="36" ht="24" customHeight="1" spans="1:19">
      <c r="A36" s="5" t="s">
        <v>31</v>
      </c>
      <c r="B36" s="5" t="str">
        <f xml:space="preserve">IF(C36="","",IFERROR(INDEX(EQUIPES!$B$2:$B$600,MATCH(C36,EQUIPES!$C$2:$C$600,0))&amp;"",""))</f>
        <v/>
      </c>
      <c r="C36" s="4"/>
      <c r="D36" s="4"/>
      <c r="E36" s="4"/>
      <c r="F36" s="4"/>
      <c r="G36" s="5"/>
      <c r="H36" s="5"/>
      <c r="I36" s="5"/>
      <c r="J36" s="4"/>
      <c r="K36" s="5"/>
      <c r="L36" s="4"/>
      <c r="M36" s="16"/>
      <c r="N36" s="16"/>
      <c r="O36" s="16"/>
      <c r="P36" s="5"/>
      <c r="Q36" s="16"/>
      <c r="R36" s="5"/>
      <c r="S36" s="15"/>
    </row>
    <row r="37" ht="24" customHeight="1" spans="1:19">
      <c r="A37" s="5" t="s">
        <v>31</v>
      </c>
      <c r="B37" s="5" t="str">
        <f xml:space="preserve">IF(C37="","",IFERROR(INDEX(EQUIPES!$B$2:$B$600,MATCH(C37,EQUIPES!$C$2:$C$600,0))&amp;"",""))</f>
        <v/>
      </c>
      <c r="C37" s="4"/>
      <c r="D37" s="4"/>
      <c r="E37" s="4"/>
      <c r="F37" s="4"/>
      <c r="G37" s="5"/>
      <c r="H37" s="5"/>
      <c r="I37" s="5"/>
      <c r="J37" s="4"/>
      <c r="K37" s="5"/>
      <c r="L37" s="4"/>
      <c r="M37" s="16"/>
      <c r="N37" s="16"/>
      <c r="O37" s="16"/>
      <c r="P37" s="5"/>
      <c r="Q37" s="16"/>
      <c r="R37" s="5"/>
      <c r="S37" s="15"/>
    </row>
    <row r="38" ht="24" customHeight="1" spans="1:19">
      <c r="A38" s="5" t="s">
        <v>31</v>
      </c>
      <c r="B38" s="5" t="str">
        <f xml:space="preserve">IF(C38="","",IFERROR(INDEX(EQUIPES!$B$2:$B$600,MATCH(C38,EQUIPES!$C$2:$C$600,0))&amp;"",""))</f>
        <v/>
      </c>
      <c r="C38" s="4"/>
      <c r="D38" s="4"/>
      <c r="E38" s="4"/>
      <c r="F38" s="4"/>
      <c r="G38" s="5"/>
      <c r="H38" s="5"/>
      <c r="I38" s="5"/>
      <c r="J38" s="4"/>
      <c r="K38" s="5"/>
      <c r="L38" s="4"/>
      <c r="M38" s="16"/>
      <c r="N38" s="16"/>
      <c r="O38" s="16"/>
      <c r="P38" s="5"/>
      <c r="Q38" s="16"/>
      <c r="R38" s="5"/>
      <c r="S38" s="15"/>
    </row>
    <row r="39" ht="24" customHeight="1" spans="1:19">
      <c r="A39" s="5" t="s">
        <v>31</v>
      </c>
      <c r="B39" s="5" t="str">
        <f xml:space="preserve">IF(C39="","",IFERROR(INDEX(EQUIPES!$B$2:$B$600,MATCH(C39,EQUIPES!$C$2:$C$600,0))&amp;"",""))</f>
        <v/>
      </c>
      <c r="C39" s="4"/>
      <c r="D39" s="4"/>
      <c r="E39" s="4"/>
      <c r="F39" s="4"/>
      <c r="G39" s="5"/>
      <c r="H39" s="5"/>
      <c r="I39" s="5"/>
      <c r="J39" s="4"/>
      <c r="K39" s="5"/>
      <c r="L39" s="4"/>
      <c r="M39" s="16"/>
      <c r="N39" s="16"/>
      <c r="O39" s="16"/>
      <c r="P39" s="5"/>
      <c r="Q39" s="16"/>
      <c r="R39" s="5"/>
      <c r="S39" s="15"/>
    </row>
    <row r="40" ht="24" customHeight="1" spans="1:19">
      <c r="A40" s="5" t="s">
        <v>31</v>
      </c>
      <c r="B40" s="5" t="str">
        <f xml:space="preserve">IF(C40="","",IFERROR(INDEX(EQUIPES!$B$2:$B$600,MATCH(C40,EQUIPES!$C$2:$C$600,0))&amp;"",""))</f>
        <v/>
      </c>
      <c r="C40" s="4"/>
      <c r="D40" s="4"/>
      <c r="E40" s="4"/>
      <c r="F40" s="4"/>
      <c r="G40" s="5"/>
      <c r="H40" s="5"/>
      <c r="I40" s="5"/>
      <c r="J40" s="4"/>
      <c r="K40" s="5"/>
      <c r="L40" s="4"/>
      <c r="M40" s="16"/>
      <c r="N40" s="16"/>
      <c r="O40" s="16"/>
      <c r="P40" s="5"/>
      <c r="Q40" s="16"/>
      <c r="R40" s="5"/>
      <c r="S40" s="15"/>
    </row>
    <row r="41" ht="24" customHeight="1" spans="1:19">
      <c r="A41" s="5" t="s">
        <v>31</v>
      </c>
      <c r="B41" s="5" t="str">
        <f xml:space="preserve">IF(C41="","",IFERROR(INDEX(EQUIPES!$B$2:$B$600,MATCH(C41,EQUIPES!$C$2:$C$600,0))&amp;"",""))</f>
        <v/>
      </c>
      <c r="C41" s="4"/>
      <c r="D41" s="4"/>
      <c r="E41" s="4"/>
      <c r="F41" s="4"/>
      <c r="G41" s="5"/>
      <c r="H41" s="5"/>
      <c r="I41" s="5"/>
      <c r="J41" s="4"/>
      <c r="K41" s="5"/>
      <c r="L41" s="4"/>
      <c r="M41" s="16"/>
      <c r="N41" s="16"/>
      <c r="O41" s="16"/>
      <c r="P41" s="5"/>
      <c r="Q41" s="16"/>
      <c r="R41" s="5"/>
      <c r="S41" s="15"/>
    </row>
    <row r="42" ht="24" customHeight="1" spans="1:19">
      <c r="A42" s="5" t="s">
        <v>31</v>
      </c>
      <c r="B42" s="5" t="str">
        <f xml:space="preserve">IF(C42="","",IFERROR(INDEX(EQUIPES!$B$2:$B$600,MATCH(C42,EQUIPES!$C$2:$C$600,0))&amp;"",""))</f>
        <v/>
      </c>
      <c r="C42" s="4"/>
      <c r="D42" s="4"/>
      <c r="E42" s="4"/>
      <c r="F42" s="4"/>
      <c r="G42" s="5"/>
      <c r="H42" s="5"/>
      <c r="I42" s="5"/>
      <c r="J42" s="4"/>
      <c r="K42" s="5"/>
      <c r="L42" s="4"/>
      <c r="M42" s="16"/>
      <c r="N42" s="16"/>
      <c r="O42" s="16"/>
      <c r="P42" s="5"/>
      <c r="Q42" s="16"/>
      <c r="R42" s="5"/>
      <c r="S42" s="15"/>
    </row>
    <row r="43" ht="24" customHeight="1" spans="1:19">
      <c r="A43" s="5" t="s">
        <v>31</v>
      </c>
      <c r="B43" s="5" t="str">
        <f xml:space="preserve">IF(C43="","",IFERROR(INDEX(EQUIPES!$B$2:$B$600,MATCH(C43,EQUIPES!$C$2:$C$600,0))&amp;"",""))</f>
        <v/>
      </c>
      <c r="C43" s="4"/>
      <c r="D43" s="4"/>
      <c r="E43" s="4"/>
      <c r="F43" s="4"/>
      <c r="G43" s="5"/>
      <c r="H43" s="5"/>
      <c r="I43" s="5"/>
      <c r="J43" s="4"/>
      <c r="K43" s="5"/>
      <c r="L43" s="4"/>
      <c r="M43" s="16"/>
      <c r="N43" s="16"/>
      <c r="O43" s="16"/>
      <c r="P43" s="5"/>
      <c r="Q43" s="16"/>
      <c r="R43" s="5"/>
      <c r="S43" s="15"/>
    </row>
    <row r="44" ht="24" customHeight="1" spans="1:19">
      <c r="A44" s="5" t="s">
        <v>31</v>
      </c>
      <c r="B44" s="5" t="str">
        <f xml:space="preserve">IF(C44="","",IFERROR(INDEX(EQUIPES!$B$2:$B$600,MATCH(C44,EQUIPES!$C$2:$C$600,0))&amp;"",""))</f>
        <v/>
      </c>
      <c r="C44" s="4"/>
      <c r="D44" s="4"/>
      <c r="E44" s="4"/>
      <c r="F44" s="4"/>
      <c r="G44" s="5"/>
      <c r="H44" s="5"/>
      <c r="I44" s="5"/>
      <c r="J44" s="4"/>
      <c r="K44" s="5"/>
      <c r="L44" s="4"/>
      <c r="M44" s="16"/>
      <c r="N44" s="16"/>
      <c r="O44" s="16"/>
      <c r="P44" s="5"/>
      <c r="Q44" s="16"/>
      <c r="R44" s="5"/>
      <c r="S44" s="15"/>
    </row>
    <row r="45" ht="24" customHeight="1" spans="1:19">
      <c r="A45" s="5" t="s">
        <v>31</v>
      </c>
      <c r="B45" s="5" t="str">
        <f xml:space="preserve">IF(C45="","",IFERROR(INDEX(EQUIPES!$B$2:$B$600,MATCH(C45,EQUIPES!$C$2:$C$600,0))&amp;"",""))</f>
        <v/>
      </c>
      <c r="C45" s="4"/>
      <c r="D45" s="4"/>
      <c r="E45" s="4"/>
      <c r="F45" s="4"/>
      <c r="G45" s="5"/>
      <c r="H45" s="5"/>
      <c r="I45" s="5"/>
      <c r="J45" s="4"/>
      <c r="K45" s="5"/>
      <c r="L45" s="4"/>
      <c r="M45" s="16"/>
      <c r="N45" s="16"/>
      <c r="O45" s="16"/>
      <c r="P45" s="5"/>
      <c r="Q45" s="16"/>
      <c r="R45" s="5"/>
      <c r="S45" s="15"/>
    </row>
    <row r="46" ht="24" customHeight="1" spans="1:19">
      <c r="A46" s="5" t="s">
        <v>31</v>
      </c>
      <c r="B46" s="5" t="str">
        <f xml:space="preserve">IF(C46="","",IFERROR(INDEX(EQUIPES!$B$2:$B$600,MATCH(C46,EQUIPES!$C$2:$C$600,0))&amp;"",""))</f>
        <v/>
      </c>
      <c r="C46" s="4"/>
      <c r="D46" s="4"/>
      <c r="E46" s="4"/>
      <c r="F46" s="4"/>
      <c r="G46" s="5"/>
      <c r="H46" s="5"/>
      <c r="I46" s="5"/>
      <c r="J46" s="4"/>
      <c r="K46" s="5"/>
      <c r="L46" s="4"/>
      <c r="M46" s="16"/>
      <c r="N46" s="16"/>
      <c r="O46" s="16"/>
      <c r="P46" s="5"/>
      <c r="Q46" s="16"/>
      <c r="R46" s="5"/>
      <c r="S46" s="15"/>
    </row>
    <row r="47" ht="24" customHeight="1" spans="1:19">
      <c r="A47" s="5" t="s">
        <v>31</v>
      </c>
      <c r="B47" s="5" t="str">
        <f xml:space="preserve">IF(C47="","",IFERROR(INDEX(EQUIPES!$B$2:$B$600,MATCH(C47,EQUIPES!$C$2:$C$600,0))&amp;"",""))</f>
        <v/>
      </c>
      <c r="C47" s="4"/>
      <c r="D47" s="4"/>
      <c r="E47" s="4"/>
      <c r="F47" s="4"/>
      <c r="G47" s="5"/>
      <c r="H47" s="5"/>
      <c r="I47" s="5"/>
      <c r="J47" s="4"/>
      <c r="K47" s="5"/>
      <c r="L47" s="4"/>
      <c r="M47" s="16"/>
      <c r="N47" s="16"/>
      <c r="O47" s="16"/>
      <c r="P47" s="5"/>
      <c r="Q47" s="16"/>
      <c r="R47" s="5"/>
      <c r="S47" s="15"/>
    </row>
    <row r="48" ht="24" customHeight="1" spans="1:19">
      <c r="A48" s="5" t="s">
        <v>31</v>
      </c>
      <c r="B48" s="5" t="str">
        <f xml:space="preserve">IF(C48="","",IFERROR(INDEX(EQUIPES!$B$2:$B$600,MATCH(C48,EQUIPES!$C$2:$C$600,0))&amp;"",""))</f>
        <v/>
      </c>
      <c r="C48" s="4"/>
      <c r="D48" s="4"/>
      <c r="E48" s="4"/>
      <c r="F48" s="4"/>
      <c r="G48" s="5"/>
      <c r="H48" s="5"/>
      <c r="I48" s="5"/>
      <c r="J48" s="4"/>
      <c r="K48" s="5"/>
      <c r="L48" s="4"/>
      <c r="M48" s="16"/>
      <c r="N48" s="16"/>
      <c r="O48" s="16"/>
      <c r="P48" s="5"/>
      <c r="Q48" s="16"/>
      <c r="R48" s="5"/>
      <c r="S48" s="15"/>
    </row>
    <row r="49" ht="24" customHeight="1" spans="1:19">
      <c r="A49" s="5" t="s">
        <v>31</v>
      </c>
      <c r="B49" s="5" t="str">
        <f xml:space="preserve">IF(C49="","",IFERROR(INDEX(EQUIPES!$B$2:$B$600,MATCH(C49,EQUIPES!$C$2:$C$600,0))&amp;"",""))</f>
        <v/>
      </c>
      <c r="C49" s="4"/>
      <c r="D49" s="4"/>
      <c r="E49" s="4"/>
      <c r="F49" s="4"/>
      <c r="G49" s="5"/>
      <c r="H49" s="5"/>
      <c r="I49" s="5"/>
      <c r="J49" s="4"/>
      <c r="K49" s="5"/>
      <c r="L49" s="4"/>
      <c r="M49" s="16"/>
      <c r="N49" s="16"/>
      <c r="O49" s="16"/>
      <c r="P49" s="5"/>
      <c r="Q49" s="16"/>
      <c r="R49" s="5"/>
      <c r="S49" s="15"/>
    </row>
    <row r="50" ht="24" customHeight="1" spans="1:19">
      <c r="A50" s="5" t="s">
        <v>31</v>
      </c>
      <c r="B50" s="5" t="str">
        <f xml:space="preserve">IF(C50="","",IFERROR(INDEX(EQUIPES!$B$2:$B$600,MATCH(C50,EQUIPES!$C$2:$C$600,0))&amp;"",""))</f>
        <v/>
      </c>
      <c r="C50" s="4"/>
      <c r="D50" s="4"/>
      <c r="E50" s="4"/>
      <c r="F50" s="4"/>
      <c r="G50" s="5"/>
      <c r="H50" s="5"/>
      <c r="I50" s="5"/>
      <c r="J50" s="4"/>
      <c r="K50" s="5"/>
      <c r="L50" s="4"/>
      <c r="M50" s="16"/>
      <c r="N50" s="16"/>
      <c r="O50" s="16"/>
      <c r="P50" s="5"/>
      <c r="Q50" s="16"/>
      <c r="R50" s="5"/>
      <c r="S50" s="15"/>
    </row>
    <row r="51" ht="24" customHeight="1" spans="1:19">
      <c r="A51" s="5" t="s">
        <v>31</v>
      </c>
      <c r="B51" s="5" t="str">
        <f xml:space="preserve">IF(C51="","",IFERROR(INDEX(EQUIPES!$B$2:$B$600,MATCH(C51,EQUIPES!$C$2:$C$600,0))&amp;"",""))</f>
        <v/>
      </c>
      <c r="C51" s="4"/>
      <c r="D51" s="4"/>
      <c r="E51" s="4"/>
      <c r="F51" s="4"/>
      <c r="G51" s="5"/>
      <c r="H51" s="5"/>
      <c r="I51" s="5"/>
      <c r="J51" s="4"/>
      <c r="K51" s="5"/>
      <c r="L51" s="4"/>
      <c r="M51" s="16"/>
      <c r="N51" s="16"/>
      <c r="O51" s="16"/>
      <c r="P51" s="5"/>
      <c r="Q51" s="16"/>
      <c r="R51" s="5"/>
      <c r="S51" s="15"/>
    </row>
    <row r="52" ht="24" customHeight="1" spans="1:19">
      <c r="A52" s="5" t="s">
        <v>31</v>
      </c>
      <c r="B52" s="5" t="str">
        <f xml:space="preserve">IF(C52="","",IFERROR(INDEX(EQUIPES!$B$2:$B$600,MATCH(C52,EQUIPES!$C$2:$C$600,0))&amp;"",""))</f>
        <v/>
      </c>
      <c r="C52" s="4"/>
      <c r="D52" s="4"/>
      <c r="E52" s="4"/>
      <c r="F52" s="4"/>
      <c r="G52" s="5"/>
      <c r="H52" s="5"/>
      <c r="I52" s="5"/>
      <c r="J52" s="4"/>
      <c r="K52" s="5"/>
      <c r="L52" s="4"/>
      <c r="M52" s="16"/>
      <c r="N52" s="16"/>
      <c r="O52" s="16"/>
      <c r="P52" s="5"/>
      <c r="Q52" s="16"/>
      <c r="R52" s="5"/>
      <c r="S52" s="15"/>
    </row>
    <row r="53" ht="24" customHeight="1" spans="1:19">
      <c r="A53" s="5" t="s">
        <v>31</v>
      </c>
      <c r="B53" s="5" t="str">
        <f xml:space="preserve">IF(C53="","",IFERROR(INDEX(EQUIPES!$B$2:$B$600,MATCH(C53,EQUIPES!$C$2:$C$600,0))&amp;"",""))</f>
        <v/>
      </c>
      <c r="C53" s="4"/>
      <c r="D53" s="4"/>
      <c r="E53" s="4"/>
      <c r="F53" s="4"/>
      <c r="G53" s="5"/>
      <c r="H53" s="5"/>
      <c r="I53" s="5"/>
      <c r="J53" s="4"/>
      <c r="K53" s="5"/>
      <c r="L53" s="4"/>
      <c r="M53" s="16"/>
      <c r="N53" s="16"/>
      <c r="O53" s="16"/>
      <c r="P53" s="5"/>
      <c r="Q53" s="16"/>
      <c r="R53" s="5"/>
      <c r="S53" s="15"/>
    </row>
    <row r="54" ht="24" customHeight="1" spans="1:19">
      <c r="A54" s="5" t="s">
        <v>31</v>
      </c>
      <c r="B54" s="5" t="str">
        <f xml:space="preserve">IF(C54="","",IFERROR(INDEX(EQUIPES!$B$2:$B$600,MATCH(C54,EQUIPES!$C$2:$C$600,0))&amp;"",""))</f>
        <v/>
      </c>
      <c r="C54" s="4"/>
      <c r="D54" s="4"/>
      <c r="E54" s="4"/>
      <c r="F54" s="4"/>
      <c r="G54" s="5"/>
      <c r="H54" s="5"/>
      <c r="I54" s="5"/>
      <c r="J54" s="4"/>
      <c r="K54" s="5"/>
      <c r="L54" s="4"/>
      <c r="M54" s="16"/>
      <c r="N54" s="16"/>
      <c r="O54" s="16"/>
      <c r="P54" s="5"/>
      <c r="Q54" s="16"/>
      <c r="R54" s="5"/>
      <c r="S54" s="15"/>
    </row>
    <row r="55" ht="24" customHeight="1" spans="1:19">
      <c r="A55" s="5" t="s">
        <v>31</v>
      </c>
      <c r="B55" s="5" t="str">
        <f xml:space="preserve">IF(C55="","",IFERROR(INDEX(EQUIPES!$B$2:$B$600,MATCH(C55,EQUIPES!$C$2:$C$600,0))&amp;"",""))</f>
        <v/>
      </c>
      <c r="C55" s="4"/>
      <c r="D55" s="4"/>
      <c r="E55" s="4"/>
      <c r="F55" s="4"/>
      <c r="G55" s="5"/>
      <c r="H55" s="5"/>
      <c r="I55" s="5"/>
      <c r="J55" s="4"/>
      <c r="K55" s="5"/>
      <c r="L55" s="4"/>
      <c r="M55" s="16"/>
      <c r="N55" s="16"/>
      <c r="O55" s="16"/>
      <c r="P55" s="5"/>
      <c r="Q55" s="16"/>
      <c r="R55" s="5"/>
      <c r="S55" s="15"/>
    </row>
    <row r="56" ht="24" customHeight="1" spans="1:19">
      <c r="A56" s="5" t="s">
        <v>31</v>
      </c>
      <c r="B56" s="5" t="str">
        <f xml:space="preserve">IF(C56="","",IFERROR(INDEX(EQUIPES!$B$2:$B$600,MATCH(C56,EQUIPES!$C$2:$C$600,0))&amp;"",""))</f>
        <v/>
      </c>
      <c r="C56" s="4"/>
      <c r="D56" s="4"/>
      <c r="E56" s="4"/>
      <c r="F56" s="4"/>
      <c r="G56" s="5"/>
      <c r="H56" s="5"/>
      <c r="I56" s="5"/>
      <c r="J56" s="4"/>
      <c r="K56" s="5"/>
      <c r="L56" s="4"/>
      <c r="M56" s="16"/>
      <c r="N56" s="16"/>
      <c r="O56" s="16"/>
      <c r="P56" s="5"/>
      <c r="Q56" s="16"/>
      <c r="R56" s="5"/>
      <c r="S56" s="15"/>
    </row>
    <row r="57" ht="24" customHeight="1" spans="1:19">
      <c r="A57" s="5" t="s">
        <v>31</v>
      </c>
      <c r="B57" s="5" t="str">
        <f xml:space="preserve">IF(C57="","",IFERROR(INDEX(EQUIPES!$B$2:$B$600,MATCH(C57,EQUIPES!$C$2:$C$600,0))&amp;"",""))</f>
        <v/>
      </c>
      <c r="C57" s="4"/>
      <c r="D57" s="4"/>
      <c r="E57" s="4"/>
      <c r="F57" s="4"/>
      <c r="G57" s="5"/>
      <c r="H57" s="5"/>
      <c r="I57" s="5"/>
      <c r="J57" s="4"/>
      <c r="K57" s="5"/>
      <c r="L57" s="4"/>
      <c r="M57" s="16"/>
      <c r="N57" s="16"/>
      <c r="O57" s="16"/>
      <c r="P57" s="5"/>
      <c r="Q57" s="16"/>
      <c r="R57" s="5"/>
      <c r="S57" s="15"/>
    </row>
    <row r="58" ht="24" customHeight="1" spans="1:19">
      <c r="A58" s="5" t="s">
        <v>31</v>
      </c>
      <c r="B58" s="5" t="str">
        <f xml:space="preserve">IF(C58="","",IFERROR(INDEX(EQUIPES!$B$2:$B$600,MATCH(C58,EQUIPES!$C$2:$C$600,0))&amp;"",""))</f>
        <v/>
      </c>
      <c r="C58" s="4"/>
      <c r="D58" s="4"/>
      <c r="E58" s="4"/>
      <c r="F58" s="4"/>
      <c r="G58" s="5"/>
      <c r="H58" s="5"/>
      <c r="I58" s="5"/>
      <c r="J58" s="4"/>
      <c r="K58" s="5"/>
      <c r="L58" s="4"/>
      <c r="M58" s="16"/>
      <c r="N58" s="16"/>
      <c r="O58" s="16"/>
      <c r="P58" s="5"/>
      <c r="Q58" s="16"/>
      <c r="R58" s="5"/>
      <c r="S58" s="15"/>
    </row>
    <row r="59" ht="24" customHeight="1" spans="1:19">
      <c r="A59" s="5" t="s">
        <v>31</v>
      </c>
      <c r="B59" s="5" t="str">
        <f xml:space="preserve">IF(C59="","",IFERROR(INDEX(EQUIPES!$B$2:$B$600,MATCH(C59,EQUIPES!$C$2:$C$600,0))&amp;"",""))</f>
        <v/>
      </c>
      <c r="C59" s="4"/>
      <c r="D59" s="4"/>
      <c r="E59" s="4"/>
      <c r="F59" s="4"/>
      <c r="G59" s="5"/>
      <c r="H59" s="5"/>
      <c r="I59" s="5"/>
      <c r="J59" s="4"/>
      <c r="K59" s="5"/>
      <c r="L59" s="4"/>
      <c r="M59" s="16"/>
      <c r="N59" s="16"/>
      <c r="O59" s="16"/>
      <c r="P59" s="5"/>
      <c r="Q59" s="16"/>
      <c r="R59" s="5"/>
      <c r="S59" s="15"/>
    </row>
    <row r="60" ht="24" customHeight="1" spans="1:19">
      <c r="A60" s="5" t="s">
        <v>31</v>
      </c>
      <c r="B60" s="5" t="str">
        <f xml:space="preserve">IF(C60="","",IFERROR(INDEX(EQUIPES!$B$2:$B$600,MATCH(C60,EQUIPES!$C$2:$C$600,0))&amp;"",""))</f>
        <v/>
      </c>
      <c r="C60" s="4"/>
      <c r="D60" s="4"/>
      <c r="E60" s="4"/>
      <c r="F60" s="4"/>
      <c r="G60" s="5"/>
      <c r="H60" s="5"/>
      <c r="I60" s="5"/>
      <c r="J60" s="4"/>
      <c r="K60" s="5"/>
      <c r="L60" s="4"/>
      <c r="M60" s="16"/>
      <c r="N60" s="16"/>
      <c r="O60" s="16"/>
      <c r="P60" s="5"/>
      <c r="Q60" s="16"/>
      <c r="R60" s="5"/>
      <c r="S60" s="15"/>
    </row>
    <row r="61" ht="24" customHeight="1" spans="1:19">
      <c r="A61" s="5" t="s">
        <v>31</v>
      </c>
      <c r="B61" s="5" t="str">
        <f xml:space="preserve">IF(C61="","",IFERROR(INDEX(EQUIPES!$B$2:$B$600,MATCH(C61,EQUIPES!$C$2:$C$600,0))&amp;"",""))</f>
        <v/>
      </c>
      <c r="C61" s="4"/>
      <c r="D61" s="4"/>
      <c r="E61" s="4"/>
      <c r="F61" s="4"/>
      <c r="G61" s="5"/>
      <c r="H61" s="5"/>
      <c r="I61" s="5"/>
      <c r="J61" s="4"/>
      <c r="K61" s="5"/>
      <c r="L61" s="4"/>
      <c r="M61" s="16"/>
      <c r="N61" s="16"/>
      <c r="O61" s="16"/>
      <c r="P61" s="5"/>
      <c r="Q61" s="16"/>
      <c r="R61" s="5"/>
      <c r="S61" s="15"/>
    </row>
    <row r="62" ht="24" customHeight="1" spans="1:19">
      <c r="A62" s="5" t="s">
        <v>31</v>
      </c>
      <c r="B62" s="5" t="str">
        <f xml:space="preserve">IF(C62="","",IFERROR(INDEX(EQUIPES!$B$2:$B$600,MATCH(C62,EQUIPES!$C$2:$C$600,0))&amp;"",""))</f>
        <v/>
      </c>
      <c r="C62" s="4"/>
      <c r="D62" s="4"/>
      <c r="E62" s="4"/>
      <c r="F62" s="4"/>
      <c r="G62" s="5"/>
      <c r="H62" s="5"/>
      <c r="I62" s="5"/>
      <c r="J62" s="4"/>
      <c r="K62" s="5"/>
      <c r="L62" s="4"/>
      <c r="M62" s="16"/>
      <c r="N62" s="16"/>
      <c r="O62" s="16"/>
      <c r="P62" s="5"/>
      <c r="Q62" s="16"/>
      <c r="R62" s="5"/>
      <c r="S62" s="15"/>
    </row>
    <row r="63" ht="24" customHeight="1" spans="1:19">
      <c r="A63" s="5" t="s">
        <v>31</v>
      </c>
      <c r="B63" s="5" t="str">
        <f xml:space="preserve">IF(C63="","",IFERROR(INDEX(EQUIPES!$B$2:$B$600,MATCH(C63,EQUIPES!$C$2:$C$600,0))&amp;"",""))</f>
        <v/>
      </c>
      <c r="C63" s="4"/>
      <c r="D63" s="4"/>
      <c r="E63" s="4"/>
      <c r="F63" s="4"/>
      <c r="G63" s="5"/>
      <c r="H63" s="5"/>
      <c r="I63" s="5"/>
      <c r="J63" s="4"/>
      <c r="K63" s="5"/>
      <c r="L63" s="4"/>
      <c r="M63" s="16"/>
      <c r="N63" s="16"/>
      <c r="O63" s="16"/>
      <c r="P63" s="5"/>
      <c r="Q63" s="16"/>
      <c r="R63" s="5"/>
      <c r="S63" s="15"/>
    </row>
    <row r="64" ht="24" customHeight="1" spans="1:19">
      <c r="A64" s="5" t="s">
        <v>31</v>
      </c>
      <c r="B64" s="5" t="str">
        <f xml:space="preserve">IF(C64="","",IFERROR(INDEX(EQUIPES!$B$2:$B$600,MATCH(C64,EQUIPES!$C$2:$C$600,0))&amp;"",""))</f>
        <v/>
      </c>
      <c r="C64" s="4"/>
      <c r="D64" s="4"/>
      <c r="E64" s="4"/>
      <c r="F64" s="4"/>
      <c r="G64" s="5"/>
      <c r="H64" s="5"/>
      <c r="I64" s="5"/>
      <c r="J64" s="4"/>
      <c r="K64" s="5"/>
      <c r="L64" s="4"/>
      <c r="M64" s="16"/>
      <c r="N64" s="16"/>
      <c r="O64" s="16"/>
      <c r="P64" s="5"/>
      <c r="Q64" s="16"/>
      <c r="R64" s="5"/>
      <c r="S64" s="15"/>
    </row>
    <row r="65" ht="24" customHeight="1" spans="1:19">
      <c r="A65" s="5" t="s">
        <v>31</v>
      </c>
      <c r="B65" s="5" t="str">
        <f xml:space="preserve">IF(C65="","",IFERROR(INDEX(EQUIPES!$B$2:$B$600,MATCH(C65,EQUIPES!$C$2:$C$600,0))&amp;"",""))</f>
        <v/>
      </c>
      <c r="C65" s="4"/>
      <c r="D65" s="4"/>
      <c r="E65" s="4"/>
      <c r="F65" s="4"/>
      <c r="G65" s="5"/>
      <c r="H65" s="5"/>
      <c r="I65" s="5"/>
      <c r="J65" s="4"/>
      <c r="K65" s="5"/>
      <c r="L65" s="4"/>
      <c r="M65" s="16"/>
      <c r="N65" s="16"/>
      <c r="O65" s="16"/>
      <c r="P65" s="5"/>
      <c r="Q65" s="16"/>
      <c r="R65" s="5"/>
      <c r="S65" s="15"/>
    </row>
    <row r="66" ht="24" customHeight="1" spans="1:19">
      <c r="A66" s="5" t="s">
        <v>31</v>
      </c>
      <c r="B66" s="5" t="str">
        <f xml:space="preserve">IF(C66="","",IFERROR(INDEX(EQUIPES!$B$2:$B$600,MATCH(C66,EQUIPES!$C$2:$C$600,0))&amp;"",""))</f>
        <v/>
      </c>
      <c r="C66" s="4"/>
      <c r="D66" s="4"/>
      <c r="E66" s="4"/>
      <c r="F66" s="4"/>
      <c r="G66" s="5"/>
      <c r="H66" s="5"/>
      <c r="I66" s="5"/>
      <c r="J66" s="4"/>
      <c r="K66" s="5"/>
      <c r="L66" s="4"/>
      <c r="M66" s="16"/>
      <c r="N66" s="16"/>
      <c r="O66" s="16"/>
      <c r="P66" s="5"/>
      <c r="Q66" s="16"/>
      <c r="R66" s="5"/>
      <c r="S66" s="15"/>
    </row>
    <row r="67" ht="24" customHeight="1" spans="1:19">
      <c r="A67" s="5" t="s">
        <v>31</v>
      </c>
      <c r="B67" s="5" t="str">
        <f xml:space="preserve">IF(C67="","",IFERROR(INDEX(EQUIPES!$B$2:$B$600,MATCH(C67,EQUIPES!$C$2:$C$600,0))&amp;"",""))</f>
        <v/>
      </c>
      <c r="C67" s="4"/>
      <c r="D67" s="4"/>
      <c r="E67" s="4"/>
      <c r="F67" s="4"/>
      <c r="G67" s="5"/>
      <c r="H67" s="5"/>
      <c r="I67" s="5"/>
      <c r="J67" s="4"/>
      <c r="K67" s="5"/>
      <c r="L67" s="4"/>
      <c r="M67" s="16"/>
      <c r="N67" s="16"/>
      <c r="O67" s="16"/>
      <c r="P67" s="5"/>
      <c r="Q67" s="16"/>
      <c r="R67" s="5"/>
      <c r="S67" s="15"/>
    </row>
    <row r="68" ht="24" customHeight="1" spans="1:19">
      <c r="A68" s="5" t="s">
        <v>31</v>
      </c>
      <c r="B68" s="5" t="str">
        <f xml:space="preserve">IF(C68="","",IFERROR(INDEX(EQUIPES!$B$2:$B$600,MATCH(C68,EQUIPES!$C$2:$C$600,0))&amp;"",""))</f>
        <v/>
      </c>
      <c r="C68" s="4"/>
      <c r="D68" s="4"/>
      <c r="E68" s="4"/>
      <c r="F68" s="4"/>
      <c r="G68" s="5"/>
      <c r="H68" s="5"/>
      <c r="I68" s="5"/>
      <c r="J68" s="4"/>
      <c r="K68" s="5"/>
      <c r="L68" s="4"/>
      <c r="M68" s="16"/>
      <c r="N68" s="16"/>
      <c r="O68" s="16"/>
      <c r="P68" s="5"/>
      <c r="Q68" s="16"/>
      <c r="R68" s="5"/>
      <c r="S68" s="15"/>
    </row>
    <row r="69" ht="24" customHeight="1" spans="1:19">
      <c r="A69" s="5" t="s">
        <v>31</v>
      </c>
      <c r="B69" s="5" t="str">
        <f xml:space="preserve">IF(C69="","",IFERROR(INDEX(EQUIPES!$B$2:$B$600,MATCH(C69,EQUIPES!$C$2:$C$600,0))&amp;"",""))</f>
        <v/>
      </c>
      <c r="C69" s="4"/>
      <c r="D69" s="4"/>
      <c r="E69" s="4"/>
      <c r="F69" s="4"/>
      <c r="G69" s="5"/>
      <c r="H69" s="5"/>
      <c r="I69" s="5"/>
      <c r="J69" s="4"/>
      <c r="K69" s="5"/>
      <c r="L69" s="4"/>
      <c r="M69" s="16"/>
      <c r="N69" s="16"/>
      <c r="O69" s="16"/>
      <c r="P69" s="5"/>
      <c r="Q69" s="16"/>
      <c r="R69" s="5"/>
      <c r="S69" s="15"/>
    </row>
    <row r="70" ht="24" customHeight="1" spans="1:19">
      <c r="A70" s="5" t="s">
        <v>31</v>
      </c>
      <c r="B70" s="5" t="str">
        <f xml:space="preserve">IF(C70="","",IFERROR(INDEX(EQUIPES!$B$2:$B$600,MATCH(C70,EQUIPES!$C$2:$C$600,0))&amp;"",""))</f>
        <v/>
      </c>
      <c r="C70" s="4"/>
      <c r="D70" s="4"/>
      <c r="E70" s="4"/>
      <c r="F70" s="4"/>
      <c r="G70" s="5"/>
      <c r="H70" s="5"/>
      <c r="I70" s="5"/>
      <c r="J70" s="4"/>
      <c r="K70" s="5"/>
      <c r="L70" s="4"/>
      <c r="M70" s="16"/>
      <c r="N70" s="16"/>
      <c r="O70" s="16"/>
      <c r="P70" s="5"/>
      <c r="Q70" s="16"/>
      <c r="R70" s="5"/>
      <c r="S70" s="15"/>
    </row>
    <row r="71" ht="24" customHeight="1" spans="1:19">
      <c r="A71" s="5" t="s">
        <v>31</v>
      </c>
      <c r="B71" s="5" t="str">
        <f xml:space="preserve">IF(C71="","",IFERROR(INDEX(EQUIPES!$B$2:$B$600,MATCH(C71,EQUIPES!$C$2:$C$600,0))&amp;"",""))</f>
        <v/>
      </c>
      <c r="C71" s="4"/>
      <c r="D71" s="4"/>
      <c r="E71" s="4"/>
      <c r="F71" s="4"/>
      <c r="G71" s="5"/>
      <c r="H71" s="5"/>
      <c r="I71" s="5"/>
      <c r="J71" s="4"/>
      <c r="K71" s="5"/>
      <c r="L71" s="4"/>
      <c r="M71" s="16"/>
      <c r="N71" s="16"/>
      <c r="O71" s="16"/>
      <c r="P71" s="5"/>
      <c r="Q71" s="16"/>
      <c r="R71" s="5"/>
      <c r="S71" s="15"/>
    </row>
    <row r="72" ht="24" customHeight="1" spans="1:19">
      <c r="A72" s="5" t="s">
        <v>31</v>
      </c>
      <c r="B72" s="5" t="str">
        <f xml:space="preserve">IF(C72="","",IFERROR(INDEX(EQUIPES!$B$2:$B$600,MATCH(C72,EQUIPES!$C$2:$C$600,0))&amp;"",""))</f>
        <v/>
      </c>
      <c r="C72" s="4"/>
      <c r="D72" s="4"/>
      <c r="E72" s="4"/>
      <c r="F72" s="4"/>
      <c r="G72" s="5"/>
      <c r="H72" s="5"/>
      <c r="I72" s="5"/>
      <c r="J72" s="4"/>
      <c r="K72" s="5"/>
      <c r="L72" s="4"/>
      <c r="M72" s="16"/>
      <c r="N72" s="16"/>
      <c r="O72" s="16"/>
      <c r="P72" s="5"/>
      <c r="Q72" s="16"/>
      <c r="R72" s="5"/>
      <c r="S72" s="15"/>
    </row>
    <row r="73" ht="24" customHeight="1" spans="1:19">
      <c r="A73" s="5" t="s">
        <v>31</v>
      </c>
      <c r="B73" s="5" t="str">
        <f xml:space="preserve">IF(C73="","",IFERROR(INDEX(EQUIPES!$B$2:$B$600,MATCH(C73,EQUIPES!$C$2:$C$600,0))&amp;"",""))</f>
        <v/>
      </c>
      <c r="C73" s="4"/>
      <c r="D73" s="4"/>
      <c r="E73" s="4"/>
      <c r="F73" s="4"/>
      <c r="G73" s="5"/>
      <c r="H73" s="5"/>
      <c r="I73" s="5"/>
      <c r="J73" s="4"/>
      <c r="K73" s="5"/>
      <c r="L73" s="4"/>
      <c r="M73" s="16"/>
      <c r="N73" s="16"/>
      <c r="O73" s="16"/>
      <c r="P73" s="5"/>
      <c r="Q73" s="16"/>
      <c r="R73" s="5"/>
      <c r="S73" s="15"/>
    </row>
    <row r="74" ht="24" customHeight="1" spans="1:19">
      <c r="A74" s="5" t="s">
        <v>31</v>
      </c>
      <c r="B74" s="5" t="str">
        <f xml:space="preserve">IF(C74="","",IFERROR(INDEX(EQUIPES!$B$2:$B$600,MATCH(C74,EQUIPES!$C$2:$C$600,0))&amp;"",""))</f>
        <v/>
      </c>
      <c r="C74" s="4"/>
      <c r="D74" s="4"/>
      <c r="E74" s="4"/>
      <c r="F74" s="4"/>
      <c r="G74" s="5"/>
      <c r="H74" s="5"/>
      <c r="I74" s="5"/>
      <c r="J74" s="4"/>
      <c r="K74" s="5"/>
      <c r="L74" s="4"/>
      <c r="M74" s="16"/>
      <c r="N74" s="16"/>
      <c r="O74" s="16"/>
      <c r="P74" s="5"/>
      <c r="Q74" s="16"/>
      <c r="R74" s="5"/>
      <c r="S74" s="15"/>
    </row>
    <row r="75" ht="24" customHeight="1" spans="1:19">
      <c r="A75" s="5" t="s">
        <v>31</v>
      </c>
      <c r="B75" s="5" t="str">
        <f xml:space="preserve">IF(C75="","",IFERROR(INDEX(EQUIPES!$B$2:$B$600,MATCH(C75,EQUIPES!$C$2:$C$600,0))&amp;"",""))</f>
        <v/>
      </c>
      <c r="C75" s="4"/>
      <c r="D75" s="4"/>
      <c r="E75" s="4"/>
      <c r="F75" s="4"/>
      <c r="G75" s="5"/>
      <c r="H75" s="5"/>
      <c r="I75" s="5"/>
      <c r="J75" s="4"/>
      <c r="K75" s="5"/>
      <c r="L75" s="4"/>
      <c r="M75" s="16"/>
      <c r="N75" s="16"/>
      <c r="O75" s="16"/>
      <c r="P75" s="5"/>
      <c r="Q75" s="16"/>
      <c r="R75" s="5"/>
      <c r="S75" s="15"/>
    </row>
    <row r="76" ht="24" customHeight="1" spans="1:19">
      <c r="A76" s="5" t="s">
        <v>31</v>
      </c>
      <c r="B76" s="5" t="str">
        <f xml:space="preserve">IF(C76="","",IFERROR(INDEX(EQUIPES!$B$2:$B$600,MATCH(C76,EQUIPES!$C$2:$C$600,0))&amp;"",""))</f>
        <v/>
      </c>
      <c r="C76" s="4"/>
      <c r="D76" s="4"/>
      <c r="E76" s="4"/>
      <c r="F76" s="4"/>
      <c r="G76" s="5"/>
      <c r="H76" s="5"/>
      <c r="I76" s="5"/>
      <c r="J76" s="4"/>
      <c r="K76" s="5"/>
      <c r="L76" s="4"/>
      <c r="M76" s="16"/>
      <c r="N76" s="16"/>
      <c r="O76" s="16"/>
      <c r="P76" s="5"/>
      <c r="Q76" s="16"/>
      <c r="R76" s="5"/>
      <c r="S76" s="15"/>
    </row>
    <row r="77" ht="24" customHeight="1" spans="1:19">
      <c r="A77" s="5" t="s">
        <v>31</v>
      </c>
      <c r="B77" s="5" t="str">
        <f xml:space="preserve">IF(C77="","",IFERROR(INDEX(EQUIPES!$B$2:$B$600,MATCH(C77,EQUIPES!$C$2:$C$600,0))&amp;"",""))</f>
        <v/>
      </c>
      <c r="C77" s="4"/>
      <c r="D77" s="4"/>
      <c r="E77" s="4"/>
      <c r="F77" s="4"/>
      <c r="G77" s="5"/>
      <c r="H77" s="5"/>
      <c r="I77" s="5"/>
      <c r="J77" s="4"/>
      <c r="K77" s="5"/>
      <c r="L77" s="4"/>
      <c r="M77" s="16"/>
      <c r="N77" s="16"/>
      <c r="O77" s="16"/>
      <c r="P77" s="5"/>
      <c r="Q77" s="16"/>
      <c r="R77" s="5"/>
      <c r="S77" s="15"/>
    </row>
    <row r="78" ht="24" customHeight="1" spans="1:19">
      <c r="A78" s="5" t="s">
        <v>31</v>
      </c>
      <c r="B78" s="5" t="str">
        <f xml:space="preserve">IF(C78="","",IFERROR(INDEX(EQUIPES!$B$2:$B$600,MATCH(C78,EQUIPES!$C$2:$C$600,0))&amp;"",""))</f>
        <v/>
      </c>
      <c r="C78" s="4"/>
      <c r="D78" s="4"/>
      <c r="E78" s="4"/>
      <c r="F78" s="4"/>
      <c r="G78" s="5"/>
      <c r="H78" s="5"/>
      <c r="I78" s="5"/>
      <c r="J78" s="4"/>
      <c r="K78" s="5"/>
      <c r="L78" s="4"/>
      <c r="M78" s="16"/>
      <c r="N78" s="16"/>
      <c r="O78" s="16"/>
      <c r="P78" s="5"/>
      <c r="Q78" s="16"/>
      <c r="R78" s="5"/>
      <c r="S78" s="15"/>
    </row>
    <row r="79" ht="24" customHeight="1" spans="1:19">
      <c r="A79" s="5" t="s">
        <v>31</v>
      </c>
      <c r="B79" s="5" t="str">
        <f xml:space="preserve">IF(C79="","",IFERROR(INDEX(EQUIPES!$B$2:$B$600,MATCH(C79,EQUIPES!$C$2:$C$600,0))&amp;"",""))</f>
        <v/>
      </c>
      <c r="C79" s="4"/>
      <c r="D79" s="4"/>
      <c r="E79" s="4"/>
      <c r="F79" s="4"/>
      <c r="G79" s="5"/>
      <c r="H79" s="5"/>
      <c r="I79" s="5"/>
      <c r="J79" s="4"/>
      <c r="K79" s="5"/>
      <c r="L79" s="4"/>
      <c r="M79" s="16"/>
      <c r="N79" s="16"/>
      <c r="O79" s="16"/>
      <c r="P79" s="5"/>
      <c r="Q79" s="16"/>
      <c r="R79" s="5"/>
      <c r="S79" s="15"/>
    </row>
    <row r="80" ht="24" customHeight="1" spans="1:19">
      <c r="A80" s="5" t="s">
        <v>31</v>
      </c>
      <c r="B80" s="5" t="str">
        <f xml:space="preserve">IF(C80="","",IFERROR(INDEX(EQUIPES!$B$2:$B$600,MATCH(C80,EQUIPES!$C$2:$C$600,0))&amp;"",""))</f>
        <v/>
      </c>
      <c r="C80" s="4"/>
      <c r="D80" s="4"/>
      <c r="E80" s="4"/>
      <c r="F80" s="4"/>
      <c r="G80" s="5"/>
      <c r="H80" s="5"/>
      <c r="I80" s="5"/>
      <c r="J80" s="4"/>
      <c r="K80" s="5"/>
      <c r="L80" s="4"/>
      <c r="M80" s="16"/>
      <c r="N80" s="16"/>
      <c r="O80" s="16"/>
      <c r="P80" s="5"/>
      <c r="Q80" s="16"/>
      <c r="R80" s="5"/>
      <c r="S80" s="15"/>
    </row>
    <row r="81" ht="24" customHeight="1" spans="1:19">
      <c r="A81" s="5" t="s">
        <v>31</v>
      </c>
      <c r="B81" s="5" t="str">
        <f xml:space="preserve">IF(C81="","",IFERROR(INDEX(EQUIPES!$B$2:$B$600,MATCH(C81,EQUIPES!$C$2:$C$600,0))&amp;"",""))</f>
        <v/>
      </c>
      <c r="C81" s="4"/>
      <c r="D81" s="4"/>
      <c r="E81" s="4"/>
      <c r="F81" s="4"/>
      <c r="G81" s="5"/>
      <c r="H81" s="5"/>
      <c r="I81" s="5"/>
      <c r="J81" s="4"/>
      <c r="K81" s="5"/>
      <c r="L81" s="4"/>
      <c r="M81" s="16"/>
      <c r="N81" s="16"/>
      <c r="O81" s="16"/>
      <c r="P81" s="5"/>
      <c r="Q81" s="16"/>
      <c r="R81" s="5"/>
      <c r="S81" s="15"/>
    </row>
    <row r="82" ht="24" customHeight="1" spans="1:19">
      <c r="A82" s="5" t="s">
        <v>31</v>
      </c>
      <c r="B82" s="5" t="str">
        <f xml:space="preserve">IF(C82="","",IFERROR(INDEX(EQUIPES!$B$2:$B$600,MATCH(C82,EQUIPES!$C$2:$C$600,0))&amp;"",""))</f>
        <v/>
      </c>
      <c r="C82" s="4"/>
      <c r="D82" s="4"/>
      <c r="E82" s="4"/>
      <c r="F82" s="4"/>
      <c r="G82" s="5"/>
      <c r="H82" s="5"/>
      <c r="I82" s="5"/>
      <c r="J82" s="4"/>
      <c r="K82" s="5"/>
      <c r="L82" s="4"/>
      <c r="M82" s="16"/>
      <c r="N82" s="16"/>
      <c r="O82" s="16"/>
      <c r="P82" s="5"/>
      <c r="Q82" s="16"/>
      <c r="R82" s="5"/>
      <c r="S82" s="15"/>
    </row>
    <row r="83" ht="24" customHeight="1" spans="1:19">
      <c r="A83" s="5" t="s">
        <v>31</v>
      </c>
      <c r="B83" s="5" t="str">
        <f xml:space="preserve">IF(C83="","",IFERROR(INDEX(EQUIPES!$B$2:$B$600,MATCH(C83,EQUIPES!$C$2:$C$600,0))&amp;"",""))</f>
        <v/>
      </c>
      <c r="C83" s="4"/>
      <c r="D83" s="4"/>
      <c r="E83" s="4"/>
      <c r="F83" s="4"/>
      <c r="G83" s="5"/>
      <c r="H83" s="5"/>
      <c r="I83" s="5"/>
      <c r="J83" s="4"/>
      <c r="K83" s="5"/>
      <c r="L83" s="4"/>
      <c r="M83" s="16"/>
      <c r="N83" s="16"/>
      <c r="O83" s="16"/>
      <c r="P83" s="5"/>
      <c r="Q83" s="16"/>
      <c r="R83" s="5"/>
      <c r="S83" s="15"/>
    </row>
    <row r="84" ht="24" customHeight="1" spans="1:19">
      <c r="A84" s="5" t="s">
        <v>31</v>
      </c>
      <c r="B84" s="5" t="str">
        <f xml:space="preserve">IF(C84="","",IFERROR(INDEX(EQUIPES!$B$2:$B$600,MATCH(C84,EQUIPES!$C$2:$C$600,0))&amp;"",""))</f>
        <v/>
      </c>
      <c r="C84" s="4"/>
      <c r="D84" s="4"/>
      <c r="E84" s="4"/>
      <c r="F84" s="4"/>
      <c r="G84" s="5"/>
      <c r="H84" s="5"/>
      <c r="I84" s="5"/>
      <c r="J84" s="4"/>
      <c r="K84" s="5"/>
      <c r="L84" s="4"/>
      <c r="M84" s="16"/>
      <c r="N84" s="16"/>
      <c r="O84" s="16"/>
      <c r="P84" s="5"/>
      <c r="Q84" s="16"/>
      <c r="R84" s="5"/>
      <c r="S84" s="15"/>
    </row>
    <row r="85" ht="24" customHeight="1" spans="1:19">
      <c r="A85" s="5" t="s">
        <v>31</v>
      </c>
      <c r="B85" s="5" t="str">
        <f xml:space="preserve">IF(C85="","",IFERROR(INDEX(EQUIPES!$B$2:$B$600,MATCH(C85,EQUIPES!$C$2:$C$600,0))&amp;"",""))</f>
        <v/>
      </c>
      <c r="C85" s="4"/>
      <c r="D85" s="4"/>
      <c r="E85" s="4"/>
      <c r="F85" s="4"/>
      <c r="G85" s="5"/>
      <c r="H85" s="5"/>
      <c r="I85" s="5"/>
      <c r="J85" s="4"/>
      <c r="K85" s="5"/>
      <c r="L85" s="4"/>
      <c r="M85" s="16"/>
      <c r="N85" s="16"/>
      <c r="O85" s="16"/>
      <c r="P85" s="5"/>
      <c r="Q85" s="16"/>
      <c r="R85" s="5"/>
      <c r="S85" s="15"/>
    </row>
    <row r="86" ht="24" customHeight="1" spans="1:19">
      <c r="A86" s="5" t="s">
        <v>31</v>
      </c>
      <c r="B86" s="5" t="str">
        <f xml:space="preserve">IF(C86="","",IFERROR(INDEX(EQUIPES!$B$2:$B$600,MATCH(C86,EQUIPES!$C$2:$C$600,0))&amp;"",""))</f>
        <v/>
      </c>
      <c r="C86" s="4"/>
      <c r="D86" s="4"/>
      <c r="E86" s="4"/>
      <c r="F86" s="4"/>
      <c r="G86" s="5"/>
      <c r="H86" s="5"/>
      <c r="I86" s="5"/>
      <c r="J86" s="4"/>
      <c r="K86" s="5"/>
      <c r="L86" s="4"/>
      <c r="M86" s="16"/>
      <c r="N86" s="16"/>
      <c r="O86" s="16"/>
      <c r="P86" s="5"/>
      <c r="Q86" s="16"/>
      <c r="R86" s="5"/>
      <c r="S86" s="15"/>
    </row>
    <row r="87" ht="24" customHeight="1" spans="1:19">
      <c r="A87" s="5" t="s">
        <v>31</v>
      </c>
      <c r="B87" s="5" t="str">
        <f xml:space="preserve">IF(C87="","",IFERROR(INDEX(EQUIPES!$B$2:$B$600,MATCH(C87,EQUIPES!$C$2:$C$600,0))&amp;"",""))</f>
        <v/>
      </c>
      <c r="C87" s="4"/>
      <c r="D87" s="4"/>
      <c r="E87" s="4"/>
      <c r="F87" s="4"/>
      <c r="G87" s="5"/>
      <c r="H87" s="5"/>
      <c r="I87" s="5"/>
      <c r="J87" s="4"/>
      <c r="K87" s="5"/>
      <c r="L87" s="4"/>
      <c r="M87" s="16"/>
      <c r="N87" s="16"/>
      <c r="O87" s="16"/>
      <c r="P87" s="5"/>
      <c r="Q87" s="16"/>
      <c r="R87" s="5"/>
      <c r="S87" s="15"/>
    </row>
    <row r="88" ht="24" customHeight="1" spans="1:19">
      <c r="A88" s="5" t="s">
        <v>31</v>
      </c>
      <c r="B88" s="5" t="str">
        <f xml:space="preserve">IF(C88="","",IFERROR(INDEX(EQUIPES!$B$2:$B$600,MATCH(C88,EQUIPES!$C$2:$C$600,0))&amp;"",""))</f>
        <v/>
      </c>
      <c r="C88" s="4"/>
      <c r="D88" s="4"/>
      <c r="E88" s="4"/>
      <c r="F88" s="4"/>
      <c r="G88" s="5"/>
      <c r="H88" s="5"/>
      <c r="I88" s="5"/>
      <c r="J88" s="4"/>
      <c r="K88" s="5"/>
      <c r="L88" s="4"/>
      <c r="M88" s="16"/>
      <c r="N88" s="16"/>
      <c r="O88" s="16"/>
      <c r="P88" s="5"/>
      <c r="Q88" s="16"/>
      <c r="R88" s="5"/>
      <c r="S88" s="15"/>
    </row>
    <row r="89" ht="24" customHeight="1" spans="1:19">
      <c r="A89" s="5" t="s">
        <v>31</v>
      </c>
      <c r="B89" s="5" t="str">
        <f xml:space="preserve">IF(C89="","",IFERROR(INDEX(EQUIPES!$B$2:$B$600,MATCH(C89,EQUIPES!$C$2:$C$600,0))&amp;"",""))</f>
        <v/>
      </c>
      <c r="C89" s="4"/>
      <c r="D89" s="4"/>
      <c r="E89" s="4"/>
      <c r="F89" s="4"/>
      <c r="G89" s="5"/>
      <c r="H89" s="5"/>
      <c r="I89" s="5"/>
      <c r="J89" s="4"/>
      <c r="K89" s="5"/>
      <c r="L89" s="4"/>
      <c r="M89" s="16"/>
      <c r="N89" s="16"/>
      <c r="O89" s="16"/>
      <c r="P89" s="5"/>
      <c r="Q89" s="16"/>
      <c r="R89" s="5"/>
      <c r="S89" s="15"/>
    </row>
    <row r="90" ht="24" customHeight="1" spans="1:19">
      <c r="A90" s="5" t="s">
        <v>31</v>
      </c>
      <c r="B90" s="5" t="str">
        <f xml:space="preserve">IF(C90="","",IFERROR(INDEX(EQUIPES!$B$2:$B$600,MATCH(C90,EQUIPES!$C$2:$C$600,0))&amp;"",""))</f>
        <v/>
      </c>
      <c r="C90" s="4"/>
      <c r="D90" s="4"/>
      <c r="E90" s="4"/>
      <c r="F90" s="4"/>
      <c r="G90" s="5"/>
      <c r="H90" s="5"/>
      <c r="I90" s="5"/>
      <c r="J90" s="4"/>
      <c r="K90" s="5"/>
      <c r="L90" s="4"/>
      <c r="M90" s="16"/>
      <c r="N90" s="16"/>
      <c r="O90" s="16"/>
      <c r="P90" s="5"/>
      <c r="Q90" s="16"/>
      <c r="R90" s="5"/>
      <c r="S90" s="15"/>
    </row>
    <row r="91" ht="24" customHeight="1" spans="1:19">
      <c r="A91" s="5" t="s">
        <v>31</v>
      </c>
      <c r="B91" s="5" t="str">
        <f xml:space="preserve">IF(C91="","",IFERROR(INDEX(EQUIPES!$B$2:$B$600,MATCH(C91,EQUIPES!$C$2:$C$600,0))&amp;"",""))</f>
        <v/>
      </c>
      <c r="C91" s="4"/>
      <c r="D91" s="4"/>
      <c r="E91" s="4"/>
      <c r="F91" s="4"/>
      <c r="G91" s="5"/>
      <c r="H91" s="5"/>
      <c r="I91" s="5"/>
      <c r="J91" s="4"/>
      <c r="K91" s="5"/>
      <c r="L91" s="4"/>
      <c r="M91" s="16"/>
      <c r="N91" s="16"/>
      <c r="O91" s="16"/>
      <c r="P91" s="5"/>
      <c r="Q91" s="16"/>
      <c r="R91" s="5"/>
      <c r="S91" s="15"/>
    </row>
    <row r="92" ht="24" customHeight="1" spans="1:19">
      <c r="A92" s="5" t="s">
        <v>31</v>
      </c>
      <c r="B92" s="5" t="str">
        <f xml:space="preserve">IF(C92="","",IFERROR(INDEX(EQUIPES!$B$2:$B$600,MATCH(C92,EQUIPES!$C$2:$C$600,0))&amp;"",""))</f>
        <v/>
      </c>
      <c r="C92" s="4"/>
      <c r="D92" s="4"/>
      <c r="E92" s="4"/>
      <c r="F92" s="4"/>
      <c r="G92" s="5"/>
      <c r="H92" s="5"/>
      <c r="I92" s="5"/>
      <c r="J92" s="4"/>
      <c r="K92" s="5"/>
      <c r="L92" s="4"/>
      <c r="M92" s="16"/>
      <c r="N92" s="16"/>
      <c r="O92" s="16"/>
      <c r="P92" s="5"/>
      <c r="Q92" s="16"/>
      <c r="R92" s="5"/>
      <c r="S92" s="15"/>
    </row>
    <row r="93" ht="24" customHeight="1" spans="1:19">
      <c r="A93" s="5" t="s">
        <v>31</v>
      </c>
      <c r="B93" s="5" t="str">
        <f xml:space="preserve">IF(C93="","",IFERROR(INDEX(EQUIPES!$B$2:$B$600,MATCH(C93,EQUIPES!$C$2:$C$600,0))&amp;"",""))</f>
        <v/>
      </c>
      <c r="C93" s="4"/>
      <c r="D93" s="4"/>
      <c r="E93" s="4"/>
      <c r="F93" s="4"/>
      <c r="G93" s="5"/>
      <c r="H93" s="5"/>
      <c r="I93" s="5"/>
      <c r="J93" s="4"/>
      <c r="K93" s="5"/>
      <c r="L93" s="4"/>
      <c r="M93" s="16"/>
      <c r="N93" s="16"/>
      <c r="O93" s="16"/>
      <c r="P93" s="5"/>
      <c r="Q93" s="16"/>
      <c r="R93" s="5"/>
      <c r="S93" s="15"/>
    </row>
    <row r="94" ht="24" customHeight="1" spans="1:19">
      <c r="A94" s="5" t="s">
        <v>31</v>
      </c>
      <c r="B94" s="5" t="str">
        <f xml:space="preserve">IF(C94="","",IFERROR(INDEX(EQUIPES!$B$2:$B$600,MATCH(C94,EQUIPES!$C$2:$C$600,0))&amp;"",""))</f>
        <v/>
      </c>
      <c r="C94" s="4"/>
      <c r="D94" s="4"/>
      <c r="E94" s="4"/>
      <c r="F94" s="4"/>
      <c r="G94" s="5"/>
      <c r="H94" s="5"/>
      <c r="I94" s="5"/>
      <c r="J94" s="4"/>
      <c r="K94" s="5"/>
      <c r="L94" s="4"/>
      <c r="M94" s="16"/>
      <c r="N94" s="16"/>
      <c r="O94" s="16"/>
      <c r="P94" s="5"/>
      <c r="Q94" s="16"/>
      <c r="R94" s="5"/>
      <c r="S94" s="15"/>
    </row>
    <row r="95" ht="24" customHeight="1" spans="1:19">
      <c r="A95" s="5" t="s">
        <v>31</v>
      </c>
      <c r="B95" s="5" t="str">
        <f xml:space="preserve">IF(C95="","",IFERROR(INDEX(EQUIPES!$B$2:$B$600,MATCH(C95,EQUIPES!$C$2:$C$600,0))&amp;"",""))</f>
        <v/>
      </c>
      <c r="C95" s="4"/>
      <c r="D95" s="4"/>
      <c r="E95" s="4"/>
      <c r="F95" s="4"/>
      <c r="G95" s="5"/>
      <c r="H95" s="5"/>
      <c r="I95" s="5"/>
      <c r="J95" s="4"/>
      <c r="K95" s="5"/>
      <c r="L95" s="4"/>
      <c r="M95" s="16"/>
      <c r="N95" s="16"/>
      <c r="O95" s="16"/>
      <c r="P95" s="5"/>
      <c r="Q95" s="16"/>
      <c r="R95" s="5"/>
      <c r="S95" s="15"/>
    </row>
    <row r="96" ht="24" customHeight="1" spans="1:19">
      <c r="A96" s="5" t="s">
        <v>31</v>
      </c>
      <c r="B96" s="5" t="str">
        <f xml:space="preserve">IF(C96="","",IFERROR(INDEX(EQUIPES!$B$2:$B$600,MATCH(C96,EQUIPES!$C$2:$C$600,0))&amp;"",""))</f>
        <v/>
      </c>
      <c r="C96" s="4"/>
      <c r="D96" s="4"/>
      <c r="E96" s="4"/>
      <c r="F96" s="4"/>
      <c r="G96" s="5"/>
      <c r="H96" s="5"/>
      <c r="I96" s="5"/>
      <c r="J96" s="4"/>
      <c r="K96" s="5"/>
      <c r="L96" s="4"/>
      <c r="M96" s="16"/>
      <c r="N96" s="16"/>
      <c r="O96" s="16"/>
      <c r="P96" s="5"/>
      <c r="Q96" s="16"/>
      <c r="R96" s="5"/>
      <c r="S96" s="15"/>
    </row>
    <row r="97" ht="24" customHeight="1" spans="1:19">
      <c r="A97" s="5" t="s">
        <v>31</v>
      </c>
      <c r="B97" s="5" t="str">
        <f xml:space="preserve">IF(C97="","",IFERROR(INDEX(EQUIPES!$B$2:$B$600,MATCH(C97,EQUIPES!$C$2:$C$600,0))&amp;"",""))</f>
        <v/>
      </c>
      <c r="C97" s="4"/>
      <c r="D97" s="4"/>
      <c r="E97" s="4"/>
      <c r="F97" s="4"/>
      <c r="G97" s="5"/>
      <c r="H97" s="5"/>
      <c r="I97" s="5"/>
      <c r="J97" s="4"/>
      <c r="K97" s="5"/>
      <c r="L97" s="4"/>
      <c r="M97" s="16"/>
      <c r="N97" s="16"/>
      <c r="O97" s="16"/>
      <c r="P97" s="5"/>
      <c r="Q97" s="16"/>
      <c r="R97" s="5"/>
      <c r="S97" s="15"/>
    </row>
    <row r="98" ht="24" customHeight="1" spans="1:19">
      <c r="A98" s="5" t="s">
        <v>31</v>
      </c>
      <c r="B98" s="5" t="str">
        <f xml:space="preserve">IF(C98="","",IFERROR(INDEX(EQUIPES!$B$2:$B$600,MATCH(C98,EQUIPES!$C$2:$C$600,0))&amp;"",""))</f>
        <v/>
      </c>
      <c r="C98" s="4"/>
      <c r="D98" s="4"/>
      <c r="E98" s="4"/>
      <c r="F98" s="4"/>
      <c r="G98" s="5"/>
      <c r="H98" s="5"/>
      <c r="I98" s="5"/>
      <c r="J98" s="4"/>
      <c r="K98" s="5"/>
      <c r="L98" s="4"/>
      <c r="M98" s="16"/>
      <c r="N98" s="16"/>
      <c r="O98" s="16"/>
      <c r="P98" s="5"/>
      <c r="Q98" s="16"/>
      <c r="R98" s="5"/>
      <c r="S98" s="15"/>
    </row>
    <row r="99" ht="24" customHeight="1" spans="1:19">
      <c r="A99" s="5" t="s">
        <v>31</v>
      </c>
      <c r="B99" s="5" t="str">
        <f xml:space="preserve">IF(C99="","",IFERROR(INDEX(EQUIPES!$B$2:$B$600,MATCH(C99,EQUIPES!$C$2:$C$600,0))&amp;"",""))</f>
        <v/>
      </c>
      <c r="C99" s="4"/>
      <c r="D99" s="4"/>
      <c r="E99" s="4"/>
      <c r="F99" s="4"/>
      <c r="G99" s="5"/>
      <c r="H99" s="5"/>
      <c r="I99" s="5"/>
      <c r="J99" s="4"/>
      <c r="K99" s="5"/>
      <c r="L99" s="4"/>
      <c r="M99" s="16"/>
      <c r="N99" s="16"/>
      <c r="O99" s="16"/>
      <c r="P99" s="5"/>
      <c r="Q99" s="16"/>
      <c r="R99" s="5"/>
      <c r="S99" s="15"/>
    </row>
    <row r="100" ht="24" customHeight="1" spans="1:19">
      <c r="A100" s="5" t="s">
        <v>31</v>
      </c>
      <c r="B100" s="5" t="str">
        <f xml:space="preserve">IF(C100="","",IFERROR(INDEX(EQUIPES!$B$2:$B$600,MATCH(C100,EQUIPES!$C$2:$C$600,0))&amp;"",""))</f>
        <v/>
      </c>
      <c r="C100" s="4"/>
      <c r="D100" s="4"/>
      <c r="E100" s="4"/>
      <c r="F100" s="4"/>
      <c r="G100" s="5"/>
      <c r="H100" s="5"/>
      <c r="I100" s="5"/>
      <c r="J100" s="4"/>
      <c r="K100" s="5"/>
      <c r="L100" s="4"/>
      <c r="M100" s="16"/>
      <c r="N100" s="16"/>
      <c r="O100" s="16"/>
      <c r="P100" s="5"/>
      <c r="Q100" s="16"/>
      <c r="R100" s="5"/>
      <c r="S100" s="15"/>
    </row>
    <row r="101" ht="24" customHeight="1" spans="1:19">
      <c r="A101" s="5" t="s">
        <v>31</v>
      </c>
      <c r="B101" s="5" t="str">
        <f xml:space="preserve">IF(C101="","",IFERROR(INDEX(EQUIPES!$B$2:$B$600,MATCH(C101,EQUIPES!$C$2:$C$600,0))&amp;"",""))</f>
        <v/>
      </c>
      <c r="C101" s="4"/>
      <c r="D101" s="4"/>
      <c r="E101" s="4"/>
      <c r="F101" s="4"/>
      <c r="G101" s="5"/>
      <c r="H101" s="5"/>
      <c r="I101" s="5"/>
      <c r="J101" s="4"/>
      <c r="K101" s="5"/>
      <c r="L101" s="4"/>
      <c r="M101" s="16"/>
      <c r="N101" s="16"/>
      <c r="O101" s="16"/>
      <c r="P101" s="5"/>
      <c r="Q101" s="16"/>
      <c r="R101" s="5"/>
      <c r="S101" s="15"/>
    </row>
    <row r="102" ht="24" customHeight="1" spans="1:19">
      <c r="A102" s="5" t="s">
        <v>31</v>
      </c>
      <c r="B102" s="5" t="str">
        <f xml:space="preserve">IF(C102="","",IFERROR(INDEX(EQUIPES!$B$2:$B$600,MATCH(C102,EQUIPES!$C$2:$C$600,0))&amp;"",""))</f>
        <v/>
      </c>
      <c r="C102" s="4"/>
      <c r="D102" s="4"/>
      <c r="E102" s="4"/>
      <c r="F102" s="4"/>
      <c r="G102" s="5"/>
      <c r="H102" s="5"/>
      <c r="I102" s="5"/>
      <c r="J102" s="4"/>
      <c r="K102" s="5"/>
      <c r="L102" s="4"/>
      <c r="M102" s="16"/>
      <c r="N102" s="16"/>
      <c r="O102" s="16"/>
      <c r="P102" s="5"/>
      <c r="Q102" s="16"/>
      <c r="R102" s="5"/>
      <c r="S102" s="15"/>
    </row>
    <row r="103" ht="24" customHeight="1" spans="1:19">
      <c r="A103" s="5" t="s">
        <v>31</v>
      </c>
      <c r="B103" s="5" t="str">
        <f xml:space="preserve">IF(C103="","",IFERROR(INDEX(EQUIPES!$B$2:$B$600,MATCH(C103,EQUIPES!$C$2:$C$600,0))&amp;"",""))</f>
        <v/>
      </c>
      <c r="C103" s="4"/>
      <c r="D103" s="4"/>
      <c r="E103" s="4"/>
      <c r="F103" s="4"/>
      <c r="G103" s="5"/>
      <c r="H103" s="5"/>
      <c r="I103" s="5"/>
      <c r="J103" s="4"/>
      <c r="K103" s="5"/>
      <c r="L103" s="4"/>
      <c r="M103" s="16"/>
      <c r="N103" s="16"/>
      <c r="O103" s="16"/>
      <c r="P103" s="5"/>
      <c r="Q103" s="16"/>
      <c r="R103" s="5"/>
      <c r="S103" s="15"/>
    </row>
    <row r="104" ht="24" customHeight="1" spans="1:19">
      <c r="A104" s="5" t="s">
        <v>31</v>
      </c>
      <c r="B104" s="5" t="str">
        <f xml:space="preserve">IF(C104="","",IFERROR(INDEX(EQUIPES!$B$2:$B$600,MATCH(C104,EQUIPES!$C$2:$C$600,0))&amp;"",""))</f>
        <v/>
      </c>
      <c r="C104" s="4"/>
      <c r="D104" s="4"/>
      <c r="E104" s="4"/>
      <c r="F104" s="4"/>
      <c r="G104" s="5"/>
      <c r="H104" s="5"/>
      <c r="I104" s="5"/>
      <c r="J104" s="4"/>
      <c r="K104" s="5"/>
      <c r="L104" s="4"/>
      <c r="M104" s="16"/>
      <c r="N104" s="16"/>
      <c r="O104" s="16"/>
      <c r="P104" s="5"/>
      <c r="Q104" s="16"/>
      <c r="R104" s="5"/>
      <c r="S104" s="15"/>
    </row>
    <row r="105" ht="24" customHeight="1" spans="1:19">
      <c r="A105" s="5" t="s">
        <v>31</v>
      </c>
      <c r="B105" s="5" t="str">
        <f xml:space="preserve">IF(C105="","",IFERROR(INDEX(EQUIPES!$B$2:$B$600,MATCH(C105,EQUIPES!$C$2:$C$600,0))&amp;"",""))</f>
        <v/>
      </c>
      <c r="C105" s="4"/>
      <c r="D105" s="4"/>
      <c r="E105" s="4"/>
      <c r="F105" s="4"/>
      <c r="G105" s="5"/>
      <c r="H105" s="5"/>
      <c r="I105" s="5"/>
      <c r="J105" s="4"/>
      <c r="K105" s="5"/>
      <c r="L105" s="4"/>
      <c r="M105" s="16"/>
      <c r="N105" s="16"/>
      <c r="O105" s="16"/>
      <c r="P105" s="5"/>
      <c r="Q105" s="16"/>
      <c r="R105" s="5"/>
      <c r="S105" s="15"/>
    </row>
    <row r="106" ht="24" customHeight="1" spans="1:19">
      <c r="A106" s="5" t="s">
        <v>31</v>
      </c>
      <c r="B106" s="5" t="str">
        <f xml:space="preserve">IF(C106="","",IFERROR(INDEX(EQUIPES!$B$2:$B$600,MATCH(C106,EQUIPES!$C$2:$C$600,0))&amp;"",""))</f>
        <v/>
      </c>
      <c r="C106" s="4"/>
      <c r="D106" s="4"/>
      <c r="E106" s="4"/>
      <c r="F106" s="4"/>
      <c r="G106" s="5"/>
      <c r="H106" s="5"/>
      <c r="I106" s="5"/>
      <c r="J106" s="4"/>
      <c r="K106" s="5"/>
      <c r="L106" s="4"/>
      <c r="M106" s="16"/>
      <c r="N106" s="16"/>
      <c r="O106" s="16"/>
      <c r="P106" s="5"/>
      <c r="Q106" s="16"/>
      <c r="R106" s="5"/>
      <c r="S106" s="15"/>
    </row>
    <row r="107" ht="24" customHeight="1" spans="1:19">
      <c r="A107" s="5" t="s">
        <v>31</v>
      </c>
      <c r="B107" s="5" t="str">
        <f xml:space="preserve">IF(C107="","",IFERROR(INDEX(EQUIPES!$B$2:$B$600,MATCH(C107,EQUIPES!$C$2:$C$600,0))&amp;"",""))</f>
        <v/>
      </c>
      <c r="C107" s="4"/>
      <c r="D107" s="4"/>
      <c r="E107" s="4"/>
      <c r="F107" s="4"/>
      <c r="G107" s="5"/>
      <c r="H107" s="5"/>
      <c r="I107" s="5"/>
      <c r="J107" s="4"/>
      <c r="K107" s="5"/>
      <c r="L107" s="4"/>
      <c r="M107" s="16"/>
      <c r="N107" s="16"/>
      <c r="O107" s="16"/>
      <c r="P107" s="5"/>
      <c r="Q107" s="16"/>
      <c r="R107" s="5"/>
      <c r="S107" s="15"/>
    </row>
    <row r="108" ht="24" customHeight="1" spans="1:19">
      <c r="A108" s="5" t="s">
        <v>31</v>
      </c>
      <c r="B108" s="5" t="str">
        <f xml:space="preserve">IF(C108="","",IFERROR(INDEX(EQUIPES!$B$2:$B$600,MATCH(C108,EQUIPES!$C$2:$C$600,0))&amp;"",""))</f>
        <v/>
      </c>
      <c r="C108" s="4"/>
      <c r="D108" s="4"/>
      <c r="E108" s="4"/>
      <c r="F108" s="4"/>
      <c r="G108" s="5"/>
      <c r="H108" s="5"/>
      <c r="I108" s="5"/>
      <c r="J108" s="4"/>
      <c r="K108" s="5"/>
      <c r="L108" s="4"/>
      <c r="M108" s="16"/>
      <c r="N108" s="16"/>
      <c r="O108" s="16"/>
      <c r="P108" s="5"/>
      <c r="Q108" s="16"/>
      <c r="R108" s="5"/>
      <c r="S108" s="15"/>
    </row>
    <row r="109" ht="24" customHeight="1" spans="1:19">
      <c r="A109" s="5" t="s">
        <v>31</v>
      </c>
      <c r="B109" s="5" t="str">
        <f xml:space="preserve">IF(C109="","",IFERROR(INDEX(EQUIPES!$B$2:$B$600,MATCH(C109,EQUIPES!$C$2:$C$600,0))&amp;"",""))</f>
        <v/>
      </c>
      <c r="C109" s="4"/>
      <c r="D109" s="4"/>
      <c r="E109" s="4"/>
      <c r="F109" s="4"/>
      <c r="G109" s="5"/>
      <c r="H109" s="5"/>
      <c r="I109" s="5"/>
      <c r="J109" s="4"/>
      <c r="K109" s="5"/>
      <c r="L109" s="4"/>
      <c r="M109" s="16"/>
      <c r="N109" s="16"/>
      <c r="O109" s="16"/>
      <c r="P109" s="5"/>
      <c r="Q109" s="16"/>
      <c r="R109" s="5"/>
      <c r="S109" s="15"/>
    </row>
    <row r="110" ht="24" customHeight="1" spans="1:19">
      <c r="A110" s="5" t="s">
        <v>31</v>
      </c>
      <c r="B110" s="5" t="str">
        <f xml:space="preserve">IF(C110="","",IFERROR(INDEX(EQUIPES!$B$2:$B$600,MATCH(C110,EQUIPES!$C$2:$C$600,0))&amp;"",""))</f>
        <v/>
      </c>
      <c r="C110" s="4"/>
      <c r="D110" s="4"/>
      <c r="E110" s="4"/>
      <c r="F110" s="4"/>
      <c r="G110" s="5"/>
      <c r="H110" s="5"/>
      <c r="I110" s="5"/>
      <c r="J110" s="4"/>
      <c r="K110" s="5"/>
      <c r="L110" s="4"/>
      <c r="M110" s="16"/>
      <c r="N110" s="16"/>
      <c r="O110" s="16"/>
      <c r="P110" s="5"/>
      <c r="Q110" s="16"/>
      <c r="R110" s="5"/>
      <c r="S110" s="15"/>
    </row>
    <row r="111" ht="24" customHeight="1" spans="1:19">
      <c r="A111" s="5" t="s">
        <v>31</v>
      </c>
      <c r="B111" s="5" t="str">
        <f xml:space="preserve">IF(C111="","",IFERROR(INDEX(EQUIPES!$B$2:$B$600,MATCH(C111,EQUIPES!$C$2:$C$600,0))&amp;"",""))</f>
        <v/>
      </c>
      <c r="C111" s="4"/>
      <c r="D111" s="4"/>
      <c r="E111" s="4"/>
      <c r="F111" s="4"/>
      <c r="G111" s="5"/>
      <c r="H111" s="5"/>
      <c r="I111" s="5"/>
      <c r="J111" s="4"/>
      <c r="K111" s="5"/>
      <c r="L111" s="4"/>
      <c r="M111" s="16"/>
      <c r="N111" s="16"/>
      <c r="O111" s="16"/>
      <c r="P111" s="5"/>
      <c r="Q111" s="16"/>
      <c r="R111" s="5"/>
      <c r="S111" s="15"/>
    </row>
    <row r="112" ht="24" customHeight="1" spans="1:19">
      <c r="A112" s="5" t="s">
        <v>31</v>
      </c>
      <c r="B112" s="5" t="str">
        <f xml:space="preserve">IF(C112="","",IFERROR(INDEX(EQUIPES!$B$2:$B$600,MATCH(C112,EQUIPES!$C$2:$C$600,0))&amp;"",""))</f>
        <v/>
      </c>
      <c r="C112" s="4"/>
      <c r="D112" s="4"/>
      <c r="E112" s="4"/>
      <c r="F112" s="4"/>
      <c r="G112" s="5"/>
      <c r="H112" s="5"/>
      <c r="I112" s="5"/>
      <c r="J112" s="4"/>
      <c r="K112" s="5"/>
      <c r="L112" s="4"/>
      <c r="M112" s="16"/>
      <c r="N112" s="16"/>
      <c r="O112" s="16"/>
      <c r="P112" s="5"/>
      <c r="Q112" s="16"/>
      <c r="R112" s="5"/>
      <c r="S112" s="15"/>
    </row>
    <row r="113" ht="24" customHeight="1" spans="1:19">
      <c r="A113" s="5" t="s">
        <v>31</v>
      </c>
      <c r="B113" s="5" t="str">
        <f xml:space="preserve">IF(C113="","",IFERROR(INDEX(EQUIPES!$B$2:$B$600,MATCH(C113,EQUIPES!$C$2:$C$600,0))&amp;"",""))</f>
        <v/>
      </c>
      <c r="C113" s="4"/>
      <c r="D113" s="4"/>
      <c r="E113" s="4"/>
      <c r="F113" s="4"/>
      <c r="G113" s="5"/>
      <c r="H113" s="5"/>
      <c r="I113" s="5"/>
      <c r="J113" s="4"/>
      <c r="K113" s="5"/>
      <c r="L113" s="4"/>
      <c r="M113" s="16"/>
      <c r="N113" s="16"/>
      <c r="O113" s="16"/>
      <c r="P113" s="5"/>
      <c r="Q113" s="16"/>
      <c r="R113" s="5"/>
      <c r="S113" s="15"/>
    </row>
    <row r="114" ht="24" customHeight="1" spans="1:19">
      <c r="A114" s="5" t="s">
        <v>31</v>
      </c>
      <c r="B114" s="5" t="str">
        <f xml:space="preserve">IF(C114="","",IFERROR(INDEX(EQUIPES!$B$2:$B$600,MATCH(C114,EQUIPES!$C$2:$C$600,0))&amp;"",""))</f>
        <v/>
      </c>
      <c r="C114" s="4"/>
      <c r="D114" s="4"/>
      <c r="E114" s="4"/>
      <c r="F114" s="4"/>
      <c r="G114" s="5"/>
      <c r="H114" s="5"/>
      <c r="I114" s="5"/>
      <c r="J114" s="4"/>
      <c r="K114" s="5"/>
      <c r="L114" s="4"/>
      <c r="M114" s="16"/>
      <c r="N114" s="16"/>
      <c r="O114" s="16"/>
      <c r="P114" s="5"/>
      <c r="Q114" s="16"/>
      <c r="R114" s="5"/>
      <c r="S114" s="15"/>
    </row>
    <row r="115" ht="24" customHeight="1" spans="1:19">
      <c r="A115" s="5" t="s">
        <v>31</v>
      </c>
      <c r="B115" s="5" t="str">
        <f xml:space="preserve">IF(C115="","",IFERROR(INDEX(EQUIPES!$B$2:$B$600,MATCH(C115,EQUIPES!$C$2:$C$600,0))&amp;"",""))</f>
        <v/>
      </c>
      <c r="C115" s="4"/>
      <c r="D115" s="4"/>
      <c r="E115" s="4"/>
      <c r="F115" s="4"/>
      <c r="G115" s="5"/>
      <c r="H115" s="5"/>
      <c r="I115" s="5"/>
      <c r="J115" s="4"/>
      <c r="K115" s="5"/>
      <c r="L115" s="4"/>
      <c r="M115" s="16"/>
      <c r="N115" s="16"/>
      <c r="O115" s="16"/>
      <c r="P115" s="5"/>
      <c r="Q115" s="16"/>
      <c r="R115" s="5"/>
      <c r="S115" s="15"/>
    </row>
    <row r="116" ht="24" customHeight="1" spans="1:19">
      <c r="A116" s="5" t="s">
        <v>31</v>
      </c>
      <c r="B116" s="5" t="str">
        <f xml:space="preserve">IF(C116="","",IFERROR(INDEX(EQUIPES!$B$2:$B$600,MATCH(C116,EQUIPES!$C$2:$C$600,0))&amp;"",""))</f>
        <v/>
      </c>
      <c r="C116" s="4"/>
      <c r="D116" s="4"/>
      <c r="E116" s="4"/>
      <c r="F116" s="4"/>
      <c r="G116" s="5"/>
      <c r="H116" s="5"/>
      <c r="I116" s="5"/>
      <c r="J116" s="4"/>
      <c r="K116" s="5"/>
      <c r="L116" s="4"/>
      <c r="M116" s="16"/>
      <c r="N116" s="16"/>
      <c r="O116" s="16"/>
      <c r="P116" s="5"/>
      <c r="Q116" s="16"/>
      <c r="R116" s="5"/>
      <c r="S116" s="15"/>
    </row>
    <row r="117" ht="24" customHeight="1" spans="1:19">
      <c r="A117" s="5" t="s">
        <v>31</v>
      </c>
      <c r="B117" s="5" t="str">
        <f xml:space="preserve">IF(C117="","",IFERROR(INDEX(EQUIPES!$B$2:$B$600,MATCH(C117,EQUIPES!$C$2:$C$600,0))&amp;"",""))</f>
        <v/>
      </c>
      <c r="C117" s="4"/>
      <c r="D117" s="4"/>
      <c r="E117" s="4"/>
      <c r="F117" s="4"/>
      <c r="G117" s="5"/>
      <c r="H117" s="5"/>
      <c r="I117" s="5"/>
      <c r="J117" s="4"/>
      <c r="K117" s="5"/>
      <c r="L117" s="4"/>
      <c r="M117" s="16"/>
      <c r="N117" s="16"/>
      <c r="O117" s="16"/>
      <c r="P117" s="5"/>
      <c r="Q117" s="16"/>
      <c r="R117" s="5"/>
      <c r="S117" s="15"/>
    </row>
    <row r="118" ht="24" customHeight="1" spans="1:19">
      <c r="A118" s="5" t="s">
        <v>31</v>
      </c>
      <c r="B118" s="5" t="str">
        <f xml:space="preserve">IF(C118="","",IFERROR(INDEX(EQUIPES!$B$2:$B$600,MATCH(C118,EQUIPES!$C$2:$C$600,0))&amp;"",""))</f>
        <v/>
      </c>
      <c r="C118" s="4"/>
      <c r="D118" s="4"/>
      <c r="E118" s="4"/>
      <c r="F118" s="4"/>
      <c r="G118" s="5"/>
      <c r="H118" s="5"/>
      <c r="I118" s="5"/>
      <c r="J118" s="4"/>
      <c r="K118" s="5"/>
      <c r="L118" s="4"/>
      <c r="M118" s="16"/>
      <c r="N118" s="16"/>
      <c r="O118" s="16"/>
      <c r="P118" s="5"/>
      <c r="Q118" s="16"/>
      <c r="R118" s="5"/>
      <c r="S118" s="15"/>
    </row>
    <row r="119" ht="24" customHeight="1" spans="1:19">
      <c r="A119" s="5" t="s">
        <v>31</v>
      </c>
      <c r="B119" s="5" t="str">
        <f xml:space="preserve">IF(C119="","",IFERROR(INDEX(EQUIPES!$B$2:$B$600,MATCH(C119,EQUIPES!$C$2:$C$600,0))&amp;"",""))</f>
        <v/>
      </c>
      <c r="C119" s="4"/>
      <c r="D119" s="4"/>
      <c r="E119" s="4"/>
      <c r="F119" s="4"/>
      <c r="G119" s="5"/>
      <c r="H119" s="5"/>
      <c r="I119" s="5"/>
      <c r="J119" s="4"/>
      <c r="K119" s="5"/>
      <c r="L119" s="4"/>
      <c r="M119" s="16"/>
      <c r="N119" s="16"/>
      <c r="O119" s="16"/>
      <c r="P119" s="5"/>
      <c r="Q119" s="16"/>
      <c r="R119" s="5"/>
      <c r="S119" s="15"/>
    </row>
    <row r="120" ht="24" customHeight="1" spans="1:19">
      <c r="A120" s="5" t="s">
        <v>31</v>
      </c>
      <c r="B120" s="5" t="str">
        <f xml:space="preserve">IF(C120="","",IFERROR(INDEX(EQUIPES!$B$2:$B$600,MATCH(C120,EQUIPES!$C$2:$C$600,0))&amp;"",""))</f>
        <v/>
      </c>
      <c r="C120" s="4"/>
      <c r="D120" s="4"/>
      <c r="E120" s="4"/>
      <c r="F120" s="4"/>
      <c r="G120" s="5"/>
      <c r="H120" s="5"/>
      <c r="I120" s="5"/>
      <c r="J120" s="4"/>
      <c r="K120" s="5"/>
      <c r="L120" s="4"/>
      <c r="M120" s="16"/>
      <c r="N120" s="16"/>
      <c r="O120" s="16"/>
      <c r="P120" s="5"/>
      <c r="Q120" s="16"/>
      <c r="R120" s="5"/>
      <c r="S120" s="15"/>
    </row>
    <row r="121" ht="24" customHeight="1" spans="1:19">
      <c r="A121" s="5" t="s">
        <v>31</v>
      </c>
      <c r="B121" s="5" t="str">
        <f xml:space="preserve">IF(C121="","",IFERROR(INDEX(EQUIPES!$B$2:$B$600,MATCH(C121,EQUIPES!$C$2:$C$600,0))&amp;"",""))</f>
        <v/>
      </c>
      <c r="C121" s="4"/>
      <c r="D121" s="4"/>
      <c r="E121" s="4"/>
      <c r="F121" s="4"/>
      <c r="G121" s="5"/>
      <c r="H121" s="5"/>
      <c r="I121" s="5"/>
      <c r="J121" s="4"/>
      <c r="K121" s="5"/>
      <c r="L121" s="4"/>
      <c r="M121" s="16"/>
      <c r="N121" s="16"/>
      <c r="O121" s="16"/>
      <c r="P121" s="5"/>
      <c r="Q121" s="16"/>
      <c r="R121" s="5"/>
      <c r="S121" s="15"/>
    </row>
    <row r="122" ht="24" customHeight="1" spans="1:19">
      <c r="A122" s="5" t="s">
        <v>31</v>
      </c>
      <c r="B122" s="5" t="str">
        <f xml:space="preserve">IF(C122="","",IFERROR(INDEX(EQUIPES!$B$2:$B$600,MATCH(C122,EQUIPES!$C$2:$C$600,0))&amp;"",""))</f>
        <v/>
      </c>
      <c r="C122" s="4"/>
      <c r="D122" s="4"/>
      <c r="E122" s="4"/>
      <c r="F122" s="4"/>
      <c r="G122" s="5"/>
      <c r="H122" s="5"/>
      <c r="I122" s="5"/>
      <c r="J122" s="4"/>
      <c r="K122" s="5"/>
      <c r="L122" s="4"/>
      <c r="M122" s="16"/>
      <c r="N122" s="16"/>
      <c r="O122" s="16"/>
      <c r="P122" s="5"/>
      <c r="Q122" s="16"/>
      <c r="R122" s="5"/>
      <c r="S122" s="15"/>
    </row>
    <row r="123" ht="24" customHeight="1" spans="1:19">
      <c r="A123" s="5" t="s">
        <v>31</v>
      </c>
      <c r="B123" s="5" t="str">
        <f xml:space="preserve">IF(C123="","",IFERROR(INDEX(EQUIPES!$B$2:$B$600,MATCH(C123,EQUIPES!$C$2:$C$600,0))&amp;"",""))</f>
        <v/>
      </c>
      <c r="C123" s="4"/>
      <c r="D123" s="4"/>
      <c r="E123" s="4"/>
      <c r="F123" s="4"/>
      <c r="G123" s="5"/>
      <c r="H123" s="5"/>
      <c r="I123" s="5"/>
      <c r="J123" s="4"/>
      <c r="K123" s="5"/>
      <c r="L123" s="4"/>
      <c r="M123" s="16"/>
      <c r="N123" s="16"/>
      <c r="O123" s="16"/>
      <c r="P123" s="5"/>
      <c r="Q123" s="16"/>
      <c r="R123" s="5"/>
      <c r="S123" s="15"/>
    </row>
    <row r="124" ht="24" customHeight="1" spans="1:19">
      <c r="A124" s="5" t="s">
        <v>31</v>
      </c>
      <c r="B124" s="5" t="str">
        <f xml:space="preserve">IF(C124="","",IFERROR(INDEX(EQUIPES!$B$2:$B$600,MATCH(C124,EQUIPES!$C$2:$C$600,0))&amp;"",""))</f>
        <v/>
      </c>
      <c r="C124" s="4"/>
      <c r="D124" s="4"/>
      <c r="E124" s="4"/>
      <c r="F124" s="4"/>
      <c r="G124" s="5"/>
      <c r="H124" s="5"/>
      <c r="I124" s="5"/>
      <c r="J124" s="4"/>
      <c r="K124" s="5"/>
      <c r="L124" s="4"/>
      <c r="M124" s="16"/>
      <c r="N124" s="16"/>
      <c r="O124" s="16"/>
      <c r="P124" s="5"/>
      <c r="Q124" s="16"/>
      <c r="R124" s="5"/>
      <c r="S124" s="15"/>
    </row>
    <row r="125" ht="24" customHeight="1" spans="1:19">
      <c r="A125" s="5" t="s">
        <v>31</v>
      </c>
      <c r="B125" s="5" t="str">
        <f xml:space="preserve">IF(C125="","",IFERROR(INDEX(EQUIPES!$B$2:$B$600,MATCH(C125,EQUIPES!$C$2:$C$600,0))&amp;"",""))</f>
        <v/>
      </c>
      <c r="C125" s="4"/>
      <c r="D125" s="4"/>
      <c r="E125" s="4"/>
      <c r="F125" s="4"/>
      <c r="G125" s="5"/>
      <c r="H125" s="5"/>
      <c r="I125" s="5"/>
      <c r="J125" s="4"/>
      <c r="K125" s="5"/>
      <c r="L125" s="4"/>
      <c r="M125" s="16"/>
      <c r="N125" s="16"/>
      <c r="O125" s="16"/>
      <c r="P125" s="5"/>
      <c r="Q125" s="16"/>
      <c r="R125" s="5"/>
      <c r="S125" s="15"/>
    </row>
    <row r="126" ht="24" customHeight="1" spans="1:19">
      <c r="A126" s="5" t="s">
        <v>31</v>
      </c>
      <c r="B126" s="5" t="str">
        <f xml:space="preserve">IF(C126="","",IFERROR(INDEX(EQUIPES!$B$2:$B$600,MATCH(C126,EQUIPES!$C$2:$C$600,0))&amp;"",""))</f>
        <v/>
      </c>
      <c r="C126" s="4"/>
      <c r="D126" s="4"/>
      <c r="E126" s="4"/>
      <c r="F126" s="4"/>
      <c r="G126" s="5"/>
      <c r="H126" s="5"/>
      <c r="I126" s="5"/>
      <c r="J126" s="4"/>
      <c r="K126" s="5"/>
      <c r="L126" s="4"/>
      <c r="M126" s="16"/>
      <c r="N126" s="16"/>
      <c r="O126" s="16"/>
      <c r="P126" s="5"/>
      <c r="Q126" s="16"/>
      <c r="R126" s="5"/>
      <c r="S126" s="15"/>
    </row>
    <row r="127" ht="24" customHeight="1" spans="1:19">
      <c r="A127" s="5" t="s">
        <v>31</v>
      </c>
      <c r="B127" s="5" t="str">
        <f xml:space="preserve">IF(C127="","",IFERROR(INDEX(EQUIPES!$B$2:$B$600,MATCH(C127,EQUIPES!$C$2:$C$600,0))&amp;"",""))</f>
        <v/>
      </c>
      <c r="C127" s="4"/>
      <c r="D127" s="4"/>
      <c r="E127" s="4"/>
      <c r="F127" s="4"/>
      <c r="G127" s="5"/>
      <c r="H127" s="5"/>
      <c r="I127" s="5"/>
      <c r="J127" s="4"/>
      <c r="K127" s="5"/>
      <c r="L127" s="4"/>
      <c r="M127" s="16"/>
      <c r="N127" s="16"/>
      <c r="O127" s="16"/>
      <c r="P127" s="5"/>
      <c r="Q127" s="16"/>
      <c r="R127" s="5"/>
      <c r="S127" s="15"/>
    </row>
    <row r="128" ht="24" customHeight="1" spans="1:19">
      <c r="A128" s="5" t="s">
        <v>31</v>
      </c>
      <c r="B128" s="5" t="str">
        <f xml:space="preserve">IF(C128="","",IFERROR(INDEX(EQUIPES!$B$2:$B$600,MATCH(C128,EQUIPES!$C$2:$C$600,0))&amp;"",""))</f>
        <v/>
      </c>
      <c r="C128" s="4"/>
      <c r="D128" s="4"/>
      <c r="E128" s="4"/>
      <c r="F128" s="4"/>
      <c r="G128" s="5"/>
      <c r="H128" s="5"/>
      <c r="I128" s="5"/>
      <c r="J128" s="4"/>
      <c r="K128" s="5"/>
      <c r="L128" s="4"/>
      <c r="M128" s="16"/>
      <c r="N128" s="16"/>
      <c r="O128" s="16"/>
      <c r="P128" s="5"/>
      <c r="Q128" s="16"/>
      <c r="R128" s="5"/>
      <c r="S128" s="15"/>
    </row>
    <row r="129" ht="24" customHeight="1" spans="1:19">
      <c r="A129" s="5" t="s">
        <v>31</v>
      </c>
      <c r="B129" s="5" t="str">
        <f xml:space="preserve">IF(C129="","",IFERROR(INDEX(EQUIPES!$B$2:$B$600,MATCH(C129,EQUIPES!$C$2:$C$600,0))&amp;"",""))</f>
        <v/>
      </c>
      <c r="C129" s="4"/>
      <c r="D129" s="4"/>
      <c r="E129" s="4"/>
      <c r="F129" s="4"/>
      <c r="G129" s="5"/>
      <c r="H129" s="5"/>
      <c r="I129" s="5"/>
      <c r="J129" s="4"/>
      <c r="K129" s="5"/>
      <c r="L129" s="4"/>
      <c r="M129" s="16"/>
      <c r="N129" s="16"/>
      <c r="O129" s="16"/>
      <c r="P129" s="5"/>
      <c r="Q129" s="16"/>
      <c r="R129" s="5"/>
      <c r="S129" s="15"/>
    </row>
    <row r="130" ht="24" customHeight="1" spans="1:19">
      <c r="A130" s="5" t="s">
        <v>31</v>
      </c>
      <c r="B130" s="5" t="str">
        <f xml:space="preserve">IF(C130="","",IFERROR(INDEX(EQUIPES!$B$2:$B$600,MATCH(C130,EQUIPES!$C$2:$C$600,0))&amp;"",""))</f>
        <v/>
      </c>
      <c r="C130" s="4"/>
      <c r="D130" s="4"/>
      <c r="E130" s="4"/>
      <c r="F130" s="4"/>
      <c r="G130" s="5"/>
      <c r="H130" s="5"/>
      <c r="I130" s="5"/>
      <c r="J130" s="4"/>
      <c r="K130" s="5"/>
      <c r="L130" s="4"/>
      <c r="M130" s="16"/>
      <c r="N130" s="16"/>
      <c r="O130" s="16"/>
      <c r="P130" s="5"/>
      <c r="Q130" s="16"/>
      <c r="R130" s="5"/>
      <c r="S130" s="15"/>
    </row>
    <row r="131" ht="24" customHeight="1" spans="1:19">
      <c r="A131" s="5" t="s">
        <v>31</v>
      </c>
      <c r="B131" s="5" t="str">
        <f xml:space="preserve">IF(C131="","",IFERROR(INDEX(EQUIPES!$B$2:$B$600,MATCH(C131,EQUIPES!$C$2:$C$600,0))&amp;"",""))</f>
        <v/>
      </c>
      <c r="C131" s="4"/>
      <c r="D131" s="4"/>
      <c r="E131" s="4"/>
      <c r="F131" s="4"/>
      <c r="G131" s="5"/>
      <c r="H131" s="5"/>
      <c r="I131" s="5"/>
      <c r="J131" s="4"/>
      <c r="K131" s="5"/>
      <c r="L131" s="4"/>
      <c r="M131" s="16"/>
      <c r="N131" s="16"/>
      <c r="O131" s="16"/>
      <c r="P131" s="5"/>
      <c r="Q131" s="16"/>
      <c r="R131" s="5"/>
      <c r="S131" s="15"/>
    </row>
    <row r="132" ht="24" customHeight="1" spans="1:19">
      <c r="A132" s="5" t="s">
        <v>31</v>
      </c>
      <c r="B132" s="5" t="str">
        <f xml:space="preserve">IF(C132="","",IFERROR(INDEX(EQUIPES!$B$2:$B$600,MATCH(C132,EQUIPES!$C$2:$C$600,0))&amp;"",""))</f>
        <v/>
      </c>
      <c r="C132" s="4"/>
      <c r="D132" s="4"/>
      <c r="E132" s="4"/>
      <c r="F132" s="4"/>
      <c r="G132" s="5"/>
      <c r="H132" s="5"/>
      <c r="I132" s="5"/>
      <c r="J132" s="4"/>
      <c r="K132" s="5"/>
      <c r="L132" s="4"/>
      <c r="M132" s="16"/>
      <c r="N132" s="16"/>
      <c r="O132" s="16"/>
      <c r="P132" s="5"/>
      <c r="Q132" s="16"/>
      <c r="R132" s="5"/>
      <c r="S132" s="15"/>
    </row>
    <row r="133" ht="24" customHeight="1" spans="1:19">
      <c r="A133" s="5" t="s">
        <v>31</v>
      </c>
      <c r="B133" s="5" t="str">
        <f xml:space="preserve">IF(C133="","",IFERROR(INDEX(EQUIPES!$B$2:$B$600,MATCH(C133,EQUIPES!$C$2:$C$600,0))&amp;"",""))</f>
        <v/>
      </c>
      <c r="C133" s="4"/>
      <c r="D133" s="4"/>
      <c r="E133" s="4"/>
      <c r="F133" s="4"/>
      <c r="G133" s="5"/>
      <c r="H133" s="5"/>
      <c r="I133" s="5"/>
      <c r="J133" s="4"/>
      <c r="K133" s="5"/>
      <c r="L133" s="4"/>
      <c r="M133" s="16"/>
      <c r="N133" s="16"/>
      <c r="O133" s="16"/>
      <c r="P133" s="5"/>
      <c r="Q133" s="16"/>
      <c r="R133" s="5"/>
      <c r="S133" s="15"/>
    </row>
    <row r="134" ht="24" customHeight="1" spans="1:19">
      <c r="A134" s="5" t="s">
        <v>31</v>
      </c>
      <c r="B134" s="5" t="str">
        <f xml:space="preserve">IF(C134="","",IFERROR(INDEX(EQUIPES!$B$2:$B$600,MATCH(C134,EQUIPES!$C$2:$C$600,0))&amp;"",""))</f>
        <v/>
      </c>
      <c r="C134" s="4"/>
      <c r="D134" s="4"/>
      <c r="E134" s="4"/>
      <c r="F134" s="4"/>
      <c r="G134" s="5"/>
      <c r="H134" s="5"/>
      <c r="I134" s="5"/>
      <c r="J134" s="4"/>
      <c r="K134" s="5"/>
      <c r="L134" s="4"/>
      <c r="M134" s="16"/>
      <c r="N134" s="16"/>
      <c r="O134" s="16"/>
      <c r="P134" s="5"/>
      <c r="Q134" s="16"/>
      <c r="R134" s="5"/>
      <c r="S134" s="15"/>
    </row>
    <row r="135" ht="24" customHeight="1" spans="1:19">
      <c r="A135" s="5" t="s">
        <v>31</v>
      </c>
      <c r="B135" s="5" t="str">
        <f xml:space="preserve">IF(C135="","",IFERROR(INDEX(EQUIPES!$B$2:$B$600,MATCH(C135,EQUIPES!$C$2:$C$600,0))&amp;"",""))</f>
        <v/>
      </c>
      <c r="C135" s="4"/>
      <c r="D135" s="4"/>
      <c r="E135" s="4"/>
      <c r="F135" s="4"/>
      <c r="G135" s="5"/>
      <c r="H135" s="5"/>
      <c r="I135" s="5"/>
      <c r="J135" s="4"/>
      <c r="K135" s="5"/>
      <c r="L135" s="4"/>
      <c r="M135" s="16"/>
      <c r="N135" s="16"/>
      <c r="O135" s="16"/>
      <c r="P135" s="5"/>
      <c r="Q135" s="16"/>
      <c r="R135" s="5"/>
      <c r="S135" s="15"/>
    </row>
    <row r="136" ht="24" customHeight="1" spans="1:19">
      <c r="A136" s="5" t="s">
        <v>31</v>
      </c>
      <c r="B136" s="5" t="str">
        <f xml:space="preserve">IF(C136="","",IFERROR(INDEX(EQUIPES!$B$2:$B$600,MATCH(C136,EQUIPES!$C$2:$C$600,0))&amp;"",""))</f>
        <v/>
      </c>
      <c r="C136" s="4"/>
      <c r="D136" s="4"/>
      <c r="E136" s="4"/>
      <c r="F136" s="4"/>
      <c r="G136" s="5"/>
      <c r="H136" s="5"/>
      <c r="I136" s="5"/>
      <c r="J136" s="4"/>
      <c r="K136" s="5"/>
      <c r="L136" s="4"/>
      <c r="M136" s="16"/>
      <c r="N136" s="16"/>
      <c r="O136" s="16"/>
      <c r="P136" s="5"/>
      <c r="Q136" s="16"/>
      <c r="R136" s="5"/>
      <c r="S136" s="15"/>
    </row>
    <row r="137" ht="24" customHeight="1" spans="1:19">
      <c r="A137" s="5" t="s">
        <v>31</v>
      </c>
      <c r="B137" s="5" t="str">
        <f xml:space="preserve">IF(C137="","",IFERROR(INDEX(EQUIPES!$B$2:$B$600,MATCH(C137,EQUIPES!$C$2:$C$600,0))&amp;"",""))</f>
        <v/>
      </c>
      <c r="C137" s="4"/>
      <c r="D137" s="4"/>
      <c r="E137" s="4"/>
      <c r="F137" s="4"/>
      <c r="G137" s="5"/>
      <c r="H137" s="5"/>
      <c r="I137" s="5"/>
      <c r="J137" s="4"/>
      <c r="K137" s="5"/>
      <c r="L137" s="4"/>
      <c r="M137" s="16"/>
      <c r="N137" s="16"/>
      <c r="O137" s="16"/>
      <c r="P137" s="5"/>
      <c r="Q137" s="16"/>
      <c r="R137" s="5"/>
      <c r="S137" s="15"/>
    </row>
    <row r="138" ht="24" customHeight="1" spans="1:19">
      <c r="A138" s="5" t="s">
        <v>31</v>
      </c>
      <c r="B138" s="5" t="str">
        <f xml:space="preserve">IF(C138="","",IFERROR(INDEX(EQUIPES!$B$2:$B$600,MATCH(C138,EQUIPES!$C$2:$C$600,0))&amp;"",""))</f>
        <v/>
      </c>
      <c r="C138" s="4"/>
      <c r="D138" s="4"/>
      <c r="E138" s="4"/>
      <c r="F138" s="4"/>
      <c r="G138" s="5"/>
      <c r="H138" s="5"/>
      <c r="I138" s="5"/>
      <c r="J138" s="4"/>
      <c r="K138" s="5"/>
      <c r="L138" s="4"/>
      <c r="M138" s="16"/>
      <c r="N138" s="16"/>
      <c r="O138" s="16"/>
      <c r="P138" s="5"/>
      <c r="Q138" s="16"/>
      <c r="R138" s="5"/>
      <c r="S138" s="15"/>
    </row>
    <row r="139" ht="24" customHeight="1" spans="1:19">
      <c r="A139" s="5" t="s">
        <v>31</v>
      </c>
      <c r="B139" s="5" t="str">
        <f xml:space="preserve">IF(C139="","",IFERROR(INDEX(EQUIPES!$B$2:$B$600,MATCH(C139,EQUIPES!$C$2:$C$600,0))&amp;"",""))</f>
        <v/>
      </c>
      <c r="C139" s="4"/>
      <c r="D139" s="4"/>
      <c r="E139" s="4"/>
      <c r="F139" s="4"/>
      <c r="G139" s="5"/>
      <c r="H139" s="5"/>
      <c r="I139" s="5"/>
      <c r="J139" s="4"/>
      <c r="K139" s="5"/>
      <c r="L139" s="4"/>
      <c r="M139" s="16"/>
      <c r="N139" s="16"/>
      <c r="O139" s="16"/>
      <c r="P139" s="5"/>
      <c r="Q139" s="16"/>
      <c r="R139" s="5"/>
      <c r="S139" s="15"/>
    </row>
    <row r="140" ht="24" customHeight="1" spans="1:19">
      <c r="A140" s="5" t="s">
        <v>31</v>
      </c>
      <c r="B140" s="5" t="str">
        <f xml:space="preserve">IF(C140="","",IFERROR(INDEX(EQUIPES!$B$2:$B$600,MATCH(C140,EQUIPES!$C$2:$C$600,0))&amp;"",""))</f>
        <v/>
      </c>
      <c r="C140" s="4"/>
      <c r="D140" s="4"/>
      <c r="E140" s="4"/>
      <c r="F140" s="4"/>
      <c r="G140" s="5"/>
      <c r="H140" s="5"/>
      <c r="I140" s="5"/>
      <c r="J140" s="4"/>
      <c r="K140" s="5"/>
      <c r="L140" s="4"/>
      <c r="M140" s="16"/>
      <c r="N140" s="16"/>
      <c r="O140" s="16"/>
      <c r="P140" s="5"/>
      <c r="Q140" s="16"/>
      <c r="R140" s="5"/>
      <c r="S140" s="15"/>
    </row>
    <row r="141" ht="24" customHeight="1" spans="1:19">
      <c r="A141" s="5" t="s">
        <v>31</v>
      </c>
      <c r="B141" s="5" t="str">
        <f xml:space="preserve">IF(C141="","",IFERROR(INDEX(EQUIPES!$B$2:$B$600,MATCH(C141,EQUIPES!$C$2:$C$600,0))&amp;"",""))</f>
        <v/>
      </c>
      <c r="C141" s="4"/>
      <c r="D141" s="4"/>
      <c r="E141" s="4"/>
      <c r="F141" s="4"/>
      <c r="G141" s="5"/>
      <c r="H141" s="5"/>
      <c r="I141" s="5"/>
      <c r="J141" s="4"/>
      <c r="K141" s="5"/>
      <c r="L141" s="4"/>
      <c r="M141" s="16"/>
      <c r="N141" s="16"/>
      <c r="O141" s="16"/>
      <c r="P141" s="5"/>
      <c r="Q141" s="16"/>
      <c r="R141" s="5"/>
      <c r="S141" s="15"/>
    </row>
    <row r="142" ht="24" customHeight="1" spans="1:19">
      <c r="A142" s="5" t="s">
        <v>31</v>
      </c>
      <c r="B142" s="5" t="str">
        <f xml:space="preserve">IF(C142="","",IFERROR(INDEX(EQUIPES!$B$2:$B$600,MATCH(C142,EQUIPES!$C$2:$C$600,0))&amp;"",""))</f>
        <v/>
      </c>
      <c r="C142" s="4"/>
      <c r="D142" s="4"/>
      <c r="E142" s="4"/>
      <c r="F142" s="4"/>
      <c r="G142" s="5"/>
      <c r="H142" s="5"/>
      <c r="I142" s="5"/>
      <c r="J142" s="4"/>
      <c r="K142" s="5"/>
      <c r="L142" s="4"/>
      <c r="M142" s="16"/>
      <c r="N142" s="16"/>
      <c r="O142" s="16"/>
      <c r="P142" s="5"/>
      <c r="Q142" s="16"/>
      <c r="R142" s="5"/>
      <c r="S142" s="15"/>
    </row>
    <row r="143" ht="24" customHeight="1" spans="1:19">
      <c r="A143" s="5" t="s">
        <v>31</v>
      </c>
      <c r="B143" s="5" t="str">
        <f xml:space="preserve">IF(C143="","",IFERROR(INDEX(EQUIPES!$B$2:$B$600,MATCH(C143,EQUIPES!$C$2:$C$600,0))&amp;"",""))</f>
        <v/>
      </c>
      <c r="C143" s="4"/>
      <c r="D143" s="4"/>
      <c r="E143" s="4"/>
      <c r="F143" s="4"/>
      <c r="G143" s="5"/>
      <c r="H143" s="5"/>
      <c r="I143" s="5"/>
      <c r="J143" s="4"/>
      <c r="K143" s="5"/>
      <c r="L143" s="4"/>
      <c r="M143" s="16"/>
      <c r="N143" s="16"/>
      <c r="O143" s="16"/>
      <c r="P143" s="5"/>
      <c r="Q143" s="16"/>
      <c r="R143" s="5"/>
      <c r="S143" s="15"/>
    </row>
    <row r="144" ht="24" customHeight="1" spans="1:19">
      <c r="A144" s="5" t="s">
        <v>31</v>
      </c>
      <c r="B144" s="5" t="str">
        <f xml:space="preserve">IF(C144="","",IFERROR(INDEX(EQUIPES!$B$2:$B$600,MATCH(C144,EQUIPES!$C$2:$C$600,0))&amp;"",""))</f>
        <v/>
      </c>
      <c r="C144" s="4"/>
      <c r="D144" s="4"/>
      <c r="E144" s="4"/>
      <c r="F144" s="4"/>
      <c r="G144" s="5"/>
      <c r="H144" s="5"/>
      <c r="I144" s="5"/>
      <c r="J144" s="4"/>
      <c r="K144" s="5"/>
      <c r="L144" s="4"/>
      <c r="M144" s="16"/>
      <c r="N144" s="16"/>
      <c r="O144" s="16"/>
      <c r="P144" s="5"/>
      <c r="Q144" s="16"/>
      <c r="R144" s="5"/>
      <c r="S144" s="15"/>
    </row>
    <row r="145" ht="24" customHeight="1" spans="1:19">
      <c r="A145" s="5" t="s">
        <v>31</v>
      </c>
      <c r="B145" s="5" t="str">
        <f xml:space="preserve">IF(C145="","",IFERROR(INDEX(EQUIPES!$B$2:$B$600,MATCH(C145,EQUIPES!$C$2:$C$600,0))&amp;"",""))</f>
        <v/>
      </c>
      <c r="C145" s="4"/>
      <c r="D145" s="4"/>
      <c r="E145" s="4"/>
      <c r="F145" s="4"/>
      <c r="G145" s="5"/>
      <c r="H145" s="5"/>
      <c r="I145" s="5"/>
      <c r="J145" s="4"/>
      <c r="K145" s="5"/>
      <c r="L145" s="4"/>
      <c r="M145" s="16"/>
      <c r="N145" s="16"/>
      <c r="O145" s="16"/>
      <c r="P145" s="5"/>
      <c r="Q145" s="16"/>
      <c r="R145" s="5"/>
      <c r="S145" s="15"/>
    </row>
    <row r="146" ht="24" customHeight="1" spans="1:19">
      <c r="A146" s="5" t="s">
        <v>31</v>
      </c>
      <c r="B146" s="5" t="str">
        <f xml:space="preserve">IF(C146="","",IFERROR(INDEX(EQUIPES!$B$2:$B$600,MATCH(C146,EQUIPES!$C$2:$C$600,0))&amp;"",""))</f>
        <v/>
      </c>
      <c r="C146" s="4"/>
      <c r="D146" s="4"/>
      <c r="E146" s="4"/>
      <c r="F146" s="4"/>
      <c r="G146" s="5"/>
      <c r="H146" s="5"/>
      <c r="I146" s="5"/>
      <c r="J146" s="4"/>
      <c r="K146" s="5"/>
      <c r="L146" s="4"/>
      <c r="M146" s="16"/>
      <c r="N146" s="16"/>
      <c r="O146" s="16"/>
      <c r="P146" s="5"/>
      <c r="Q146" s="16"/>
      <c r="R146" s="5"/>
      <c r="S146" s="15"/>
    </row>
    <row r="147" ht="24" customHeight="1" spans="1:19">
      <c r="A147" s="5" t="s">
        <v>31</v>
      </c>
      <c r="B147" s="5" t="str">
        <f xml:space="preserve">IF(C147="","",IFERROR(INDEX(EQUIPES!$B$2:$B$600,MATCH(C147,EQUIPES!$C$2:$C$600,0))&amp;"",""))</f>
        <v/>
      </c>
      <c r="C147" s="4"/>
      <c r="D147" s="4"/>
      <c r="E147" s="4"/>
      <c r="F147" s="4"/>
      <c r="G147" s="5"/>
      <c r="H147" s="5"/>
      <c r="I147" s="5"/>
      <c r="J147" s="4"/>
      <c r="K147" s="5"/>
      <c r="L147" s="4"/>
      <c r="M147" s="16"/>
      <c r="N147" s="16"/>
      <c r="O147" s="16"/>
      <c r="P147" s="5"/>
      <c r="Q147" s="16"/>
      <c r="R147" s="5"/>
      <c r="S147" s="15"/>
    </row>
    <row r="148" ht="24" customHeight="1" spans="1:19">
      <c r="A148" s="5" t="s">
        <v>31</v>
      </c>
      <c r="B148" s="5" t="str">
        <f xml:space="preserve">IF(C148="","",IFERROR(INDEX(EQUIPES!$B$2:$B$600,MATCH(C148,EQUIPES!$C$2:$C$600,0))&amp;"",""))</f>
        <v/>
      </c>
      <c r="C148" s="4"/>
      <c r="D148" s="4"/>
      <c r="E148" s="4"/>
      <c r="F148" s="4"/>
      <c r="G148" s="5"/>
      <c r="H148" s="5"/>
      <c r="I148" s="5"/>
      <c r="J148" s="4"/>
      <c r="K148" s="5"/>
      <c r="L148" s="4"/>
      <c r="M148" s="16"/>
      <c r="N148" s="16"/>
      <c r="O148" s="16"/>
      <c r="P148" s="5"/>
      <c r="Q148" s="16"/>
      <c r="R148" s="5"/>
      <c r="S148" s="15"/>
    </row>
    <row r="149" ht="24" customHeight="1" spans="1:19">
      <c r="A149" s="5" t="s">
        <v>31</v>
      </c>
      <c r="B149" s="5" t="str">
        <f xml:space="preserve">IF(C149="","",IFERROR(INDEX(EQUIPES!$B$2:$B$600,MATCH(C149,EQUIPES!$C$2:$C$600,0))&amp;"",""))</f>
        <v/>
      </c>
      <c r="C149" s="4"/>
      <c r="D149" s="4"/>
      <c r="E149" s="4"/>
      <c r="F149" s="4"/>
      <c r="G149" s="5"/>
      <c r="H149" s="5"/>
      <c r="I149" s="5"/>
      <c r="J149" s="4"/>
      <c r="K149" s="5"/>
      <c r="L149" s="4"/>
      <c r="M149" s="16"/>
      <c r="N149" s="16"/>
      <c r="O149" s="16"/>
      <c r="P149" s="5"/>
      <c r="Q149" s="16"/>
      <c r="R149" s="5"/>
      <c r="S149" s="15"/>
    </row>
    <row r="150" ht="24" customHeight="1" spans="1:19">
      <c r="A150" s="5" t="s">
        <v>31</v>
      </c>
      <c r="B150" s="5" t="str">
        <f xml:space="preserve">IF(C150="","",IFERROR(INDEX(EQUIPES!$B$2:$B$600,MATCH(C150,EQUIPES!$C$2:$C$600,0))&amp;"",""))</f>
        <v/>
      </c>
      <c r="C150" s="4"/>
      <c r="D150" s="4"/>
      <c r="E150" s="4"/>
      <c r="F150" s="4"/>
      <c r="G150" s="5"/>
      <c r="H150" s="5"/>
      <c r="I150" s="5"/>
      <c r="J150" s="4"/>
      <c r="K150" s="5"/>
      <c r="L150" s="4"/>
      <c r="M150" s="16"/>
      <c r="N150" s="16"/>
      <c r="O150" s="16"/>
      <c r="P150" s="5"/>
      <c r="Q150" s="16"/>
      <c r="R150" s="5"/>
      <c r="S150" s="15"/>
    </row>
    <row r="151" ht="24" customHeight="1" spans="1:19">
      <c r="A151" s="5" t="s">
        <v>31</v>
      </c>
      <c r="B151" s="5" t="str">
        <f xml:space="preserve">IF(C151="","",IFERROR(INDEX(EQUIPES!$B$2:$B$600,MATCH(C151,EQUIPES!$C$2:$C$600,0))&amp;"",""))</f>
        <v/>
      </c>
      <c r="C151" s="4"/>
      <c r="D151" s="4"/>
      <c r="E151" s="4"/>
      <c r="F151" s="4"/>
      <c r="G151" s="5"/>
      <c r="H151" s="5"/>
      <c r="I151" s="5"/>
      <c r="J151" s="4"/>
      <c r="K151" s="5"/>
      <c r="L151" s="4"/>
      <c r="M151" s="16"/>
      <c r="N151" s="16"/>
      <c r="O151" s="16"/>
      <c r="P151" s="5"/>
      <c r="Q151" s="16"/>
      <c r="R151" s="5"/>
      <c r="S151" s="15"/>
    </row>
    <row r="152" ht="24" customHeight="1" spans="1:19">
      <c r="A152" s="5" t="s">
        <v>31</v>
      </c>
      <c r="B152" s="5" t="str">
        <f xml:space="preserve">IF(C152="","",IFERROR(INDEX(EQUIPES!$B$2:$B$600,MATCH(C152,EQUIPES!$C$2:$C$600,0))&amp;"",""))</f>
        <v/>
      </c>
      <c r="C152" s="4"/>
      <c r="D152" s="4"/>
      <c r="E152" s="4"/>
      <c r="F152" s="4"/>
      <c r="G152" s="5"/>
      <c r="H152" s="5"/>
      <c r="I152" s="5"/>
      <c r="J152" s="4"/>
      <c r="K152" s="5"/>
      <c r="L152" s="4"/>
      <c r="M152" s="16"/>
      <c r="N152" s="16"/>
      <c r="O152" s="16"/>
      <c r="P152" s="5"/>
      <c r="Q152" s="16"/>
      <c r="R152" s="5"/>
      <c r="S152" s="15"/>
    </row>
    <row r="153" ht="24" customHeight="1" spans="1:19">
      <c r="A153" s="5" t="s">
        <v>31</v>
      </c>
      <c r="B153" s="5" t="str">
        <f xml:space="preserve">IF(C153="","",IFERROR(INDEX(EQUIPES!$B$2:$B$600,MATCH(C153,EQUIPES!$C$2:$C$600,0))&amp;"",""))</f>
        <v/>
      </c>
      <c r="C153" s="4"/>
      <c r="D153" s="4"/>
      <c r="E153" s="4"/>
      <c r="F153" s="4"/>
      <c r="G153" s="5"/>
      <c r="H153" s="5"/>
      <c r="I153" s="5"/>
      <c r="J153" s="4"/>
      <c r="K153" s="5"/>
      <c r="L153" s="4"/>
      <c r="M153" s="16"/>
      <c r="N153" s="16"/>
      <c r="O153" s="16"/>
      <c r="P153" s="5"/>
      <c r="Q153" s="16"/>
      <c r="R153" s="5"/>
      <c r="S153" s="15"/>
    </row>
    <row r="154" ht="24" customHeight="1" spans="1:19">
      <c r="A154" s="5" t="s">
        <v>31</v>
      </c>
      <c r="B154" s="5" t="str">
        <f xml:space="preserve">IF(C154="","",IFERROR(INDEX(EQUIPES!$B$2:$B$600,MATCH(C154,EQUIPES!$C$2:$C$600,0))&amp;"",""))</f>
        <v/>
      </c>
      <c r="C154" s="4"/>
      <c r="D154" s="4"/>
      <c r="E154" s="4"/>
      <c r="F154" s="4"/>
      <c r="G154" s="5"/>
      <c r="H154" s="5"/>
      <c r="I154" s="5"/>
      <c r="J154" s="4"/>
      <c r="K154" s="5"/>
      <c r="L154" s="4"/>
      <c r="M154" s="16"/>
      <c r="N154" s="16"/>
      <c r="O154" s="16"/>
      <c r="P154" s="5"/>
      <c r="Q154" s="16"/>
      <c r="R154" s="5"/>
      <c r="S154" s="15"/>
    </row>
    <row r="155" ht="24" customHeight="1" spans="1:19">
      <c r="A155" s="5" t="s">
        <v>31</v>
      </c>
      <c r="B155" s="5" t="str">
        <f xml:space="preserve">IF(C155="","",IFERROR(INDEX(EQUIPES!$B$2:$B$600,MATCH(C155,EQUIPES!$C$2:$C$600,0))&amp;"",""))</f>
        <v/>
      </c>
      <c r="C155" s="4"/>
      <c r="D155" s="4"/>
      <c r="E155" s="4"/>
      <c r="F155" s="4"/>
      <c r="G155" s="5"/>
      <c r="H155" s="5"/>
      <c r="I155" s="5"/>
      <c r="J155" s="4"/>
      <c r="K155" s="5"/>
      <c r="L155" s="4"/>
      <c r="M155" s="16"/>
      <c r="N155" s="16"/>
      <c r="O155" s="16"/>
      <c r="P155" s="5"/>
      <c r="Q155" s="16"/>
      <c r="R155" s="5"/>
      <c r="S155" s="15"/>
    </row>
    <row r="156" ht="24" customHeight="1" spans="1:19">
      <c r="A156" s="5" t="s">
        <v>31</v>
      </c>
      <c r="B156" s="5" t="str">
        <f xml:space="preserve">IF(C156="","",IFERROR(INDEX(EQUIPES!$B$2:$B$600,MATCH(C156,EQUIPES!$C$2:$C$600,0))&amp;"",""))</f>
        <v/>
      </c>
      <c r="C156" s="4"/>
      <c r="D156" s="4"/>
      <c r="E156" s="4"/>
      <c r="F156" s="4"/>
      <c r="G156" s="5"/>
      <c r="H156" s="5"/>
      <c r="I156" s="5"/>
      <c r="J156" s="4"/>
      <c r="K156" s="5"/>
      <c r="L156" s="4"/>
      <c r="M156" s="16"/>
      <c r="N156" s="16"/>
      <c r="O156" s="16"/>
      <c r="P156" s="5"/>
      <c r="Q156" s="16"/>
      <c r="R156" s="5"/>
      <c r="S156" s="15"/>
    </row>
    <row r="157" ht="24" customHeight="1" spans="1:19">
      <c r="A157" s="5" t="s">
        <v>31</v>
      </c>
      <c r="B157" s="5" t="str">
        <f xml:space="preserve">IF(C157="","",IFERROR(INDEX(EQUIPES!$B$2:$B$600,MATCH(C157,EQUIPES!$C$2:$C$600,0))&amp;"",""))</f>
        <v/>
      </c>
      <c r="C157" s="4"/>
      <c r="D157" s="4"/>
      <c r="E157" s="4"/>
      <c r="F157" s="4"/>
      <c r="G157" s="5"/>
      <c r="H157" s="5"/>
      <c r="I157" s="5"/>
      <c r="J157" s="4"/>
      <c r="K157" s="5"/>
      <c r="L157" s="4"/>
      <c r="M157" s="16"/>
      <c r="N157" s="16"/>
      <c r="O157" s="16"/>
      <c r="P157" s="5"/>
      <c r="Q157" s="16"/>
      <c r="R157" s="5"/>
      <c r="S157" s="15"/>
    </row>
    <row r="158" ht="24" customHeight="1" spans="1:19">
      <c r="A158" s="5" t="s">
        <v>31</v>
      </c>
      <c r="B158" s="5" t="str">
        <f xml:space="preserve">IF(C158="","",IFERROR(INDEX(EQUIPES!$B$2:$B$600,MATCH(C158,EQUIPES!$C$2:$C$600,0))&amp;"",""))</f>
        <v/>
      </c>
      <c r="C158" s="4"/>
      <c r="D158" s="4"/>
      <c r="E158" s="4"/>
      <c r="F158" s="4"/>
      <c r="G158" s="5"/>
      <c r="H158" s="5"/>
      <c r="I158" s="5"/>
      <c r="J158" s="4"/>
      <c r="K158" s="5"/>
      <c r="L158" s="4"/>
      <c r="M158" s="16"/>
      <c r="N158" s="16"/>
      <c r="O158" s="16"/>
      <c r="P158" s="5"/>
      <c r="Q158" s="16"/>
      <c r="R158" s="5"/>
      <c r="S158" s="15"/>
    </row>
    <row r="159" ht="24" customHeight="1" spans="1:19">
      <c r="A159" s="5" t="s">
        <v>31</v>
      </c>
      <c r="B159" s="5" t="str">
        <f xml:space="preserve">IF(C159="","",IFERROR(INDEX(EQUIPES!$B$2:$B$600,MATCH(C159,EQUIPES!$C$2:$C$600,0))&amp;"",""))</f>
        <v/>
      </c>
      <c r="C159" s="4"/>
      <c r="D159" s="4"/>
      <c r="E159" s="4"/>
      <c r="F159" s="4"/>
      <c r="G159" s="5"/>
      <c r="H159" s="5"/>
      <c r="I159" s="5"/>
      <c r="J159" s="4"/>
      <c r="K159" s="5"/>
      <c r="L159" s="4"/>
      <c r="M159" s="16"/>
      <c r="N159" s="16"/>
      <c r="O159" s="16"/>
      <c r="P159" s="5"/>
      <c r="Q159" s="16"/>
      <c r="R159" s="5"/>
      <c r="S159" s="15"/>
    </row>
    <row r="160" ht="24" customHeight="1" spans="1:19">
      <c r="A160" s="5" t="s">
        <v>31</v>
      </c>
      <c r="B160" s="5" t="str">
        <f xml:space="preserve">IF(C160="","",IFERROR(INDEX(EQUIPES!$B$2:$B$600,MATCH(C160,EQUIPES!$C$2:$C$600,0))&amp;"",""))</f>
        <v/>
      </c>
      <c r="C160" s="4"/>
      <c r="D160" s="4"/>
      <c r="E160" s="4"/>
      <c r="F160" s="4"/>
      <c r="G160" s="5"/>
      <c r="H160" s="5"/>
      <c r="I160" s="5"/>
      <c r="J160" s="4"/>
      <c r="K160" s="5"/>
      <c r="L160" s="4"/>
      <c r="M160" s="16"/>
      <c r="N160" s="16"/>
      <c r="O160" s="16"/>
      <c r="P160" s="5"/>
      <c r="Q160" s="16"/>
      <c r="R160" s="5"/>
      <c r="S160" s="15"/>
    </row>
    <row r="161" ht="24" customHeight="1" spans="1:19">
      <c r="A161" s="5" t="s">
        <v>31</v>
      </c>
      <c r="B161" s="5" t="str">
        <f xml:space="preserve">IF(C161="","",IFERROR(INDEX(EQUIPES!$B$2:$B$600,MATCH(C161,EQUIPES!$C$2:$C$600,0))&amp;"",""))</f>
        <v/>
      </c>
      <c r="C161" s="4"/>
      <c r="D161" s="4"/>
      <c r="E161" s="4"/>
      <c r="F161" s="4"/>
      <c r="G161" s="5"/>
      <c r="H161" s="5"/>
      <c r="I161" s="5"/>
      <c r="J161" s="4"/>
      <c r="K161" s="5"/>
      <c r="L161" s="4"/>
      <c r="M161" s="16"/>
      <c r="N161" s="16"/>
      <c r="O161" s="16"/>
      <c r="P161" s="5"/>
      <c r="Q161" s="16"/>
      <c r="R161" s="5"/>
      <c r="S161" s="15"/>
    </row>
    <row r="162" ht="24" customHeight="1" spans="1:19">
      <c r="A162" s="5" t="s">
        <v>31</v>
      </c>
      <c r="B162" s="5" t="str">
        <f xml:space="preserve">IF(C162="","",IFERROR(INDEX(EQUIPES!$B$2:$B$600,MATCH(C162,EQUIPES!$C$2:$C$600,0))&amp;"",""))</f>
        <v/>
      </c>
      <c r="C162" s="4"/>
      <c r="D162" s="4"/>
      <c r="E162" s="4"/>
      <c r="F162" s="4"/>
      <c r="G162" s="5"/>
      <c r="H162" s="5"/>
      <c r="I162" s="5"/>
      <c r="J162" s="4"/>
      <c r="K162" s="5"/>
      <c r="L162" s="4"/>
      <c r="M162" s="16"/>
      <c r="N162" s="16"/>
      <c r="O162" s="16"/>
      <c r="P162" s="5"/>
      <c r="Q162" s="16"/>
      <c r="R162" s="5"/>
      <c r="S162" s="15"/>
    </row>
    <row r="163" ht="24" customHeight="1" spans="1:19">
      <c r="A163" s="5" t="s">
        <v>31</v>
      </c>
      <c r="B163" s="5" t="str">
        <f xml:space="preserve">IF(C163="","",IFERROR(INDEX(EQUIPES!$B$2:$B$600,MATCH(C163,EQUIPES!$C$2:$C$600,0))&amp;"",""))</f>
        <v/>
      </c>
      <c r="C163" s="4"/>
      <c r="D163" s="4"/>
      <c r="E163" s="4"/>
      <c r="F163" s="4"/>
      <c r="G163" s="5"/>
      <c r="H163" s="5"/>
      <c r="I163" s="5"/>
      <c r="J163" s="4"/>
      <c r="K163" s="5"/>
      <c r="L163" s="4"/>
      <c r="M163" s="16"/>
      <c r="N163" s="16"/>
      <c r="O163" s="16"/>
      <c r="P163" s="5"/>
      <c r="Q163" s="16"/>
      <c r="R163" s="5"/>
      <c r="S163" s="15"/>
    </row>
    <row r="164" ht="24" customHeight="1" spans="1:19">
      <c r="A164" s="5" t="s">
        <v>31</v>
      </c>
      <c r="B164" s="5" t="str">
        <f xml:space="preserve">IF(C164="","",IFERROR(INDEX(EQUIPES!$B$2:$B$600,MATCH(C164,EQUIPES!$C$2:$C$600,0))&amp;"",""))</f>
        <v/>
      </c>
      <c r="C164" s="4"/>
      <c r="D164" s="4"/>
      <c r="E164" s="4"/>
      <c r="F164" s="4"/>
      <c r="G164" s="5"/>
      <c r="H164" s="5"/>
      <c r="I164" s="5"/>
      <c r="J164" s="4"/>
      <c r="K164" s="5"/>
      <c r="L164" s="4"/>
      <c r="M164" s="16"/>
      <c r="N164" s="16"/>
      <c r="O164" s="16"/>
      <c r="P164" s="5"/>
      <c r="Q164" s="16"/>
      <c r="R164" s="5"/>
      <c r="S164" s="15"/>
    </row>
    <row r="165" ht="24" customHeight="1" spans="1:19">
      <c r="A165" s="5" t="s">
        <v>31</v>
      </c>
      <c r="B165" s="5" t="str">
        <f xml:space="preserve">IF(C165="","",IFERROR(INDEX(EQUIPES!$B$2:$B$600,MATCH(C165,EQUIPES!$C$2:$C$600,0))&amp;"",""))</f>
        <v/>
      </c>
      <c r="C165" s="4"/>
      <c r="D165" s="4"/>
      <c r="E165" s="4"/>
      <c r="F165" s="4"/>
      <c r="G165" s="5"/>
      <c r="H165" s="5"/>
      <c r="I165" s="5"/>
      <c r="J165" s="4"/>
      <c r="K165" s="5"/>
      <c r="L165" s="4"/>
      <c r="M165" s="16"/>
      <c r="N165" s="16"/>
      <c r="O165" s="16"/>
      <c r="P165" s="5"/>
      <c r="Q165" s="16"/>
      <c r="R165" s="5"/>
      <c r="S165" s="15"/>
    </row>
    <row r="166" ht="24" customHeight="1" spans="1:19">
      <c r="A166" s="5" t="s">
        <v>31</v>
      </c>
      <c r="B166" s="5" t="str">
        <f xml:space="preserve">IF(C166="","",IFERROR(INDEX(EQUIPES!$B$2:$B$600,MATCH(C166,EQUIPES!$C$2:$C$600,0))&amp;"",""))</f>
        <v/>
      </c>
      <c r="C166" s="4"/>
      <c r="D166" s="4"/>
      <c r="E166" s="4"/>
      <c r="F166" s="4"/>
      <c r="G166" s="5"/>
      <c r="H166" s="5"/>
      <c r="I166" s="5"/>
      <c r="J166" s="4"/>
      <c r="K166" s="5"/>
      <c r="L166" s="4"/>
      <c r="M166" s="16"/>
      <c r="N166" s="16"/>
      <c r="O166" s="16"/>
      <c r="P166" s="5"/>
      <c r="Q166" s="16"/>
      <c r="R166" s="5"/>
      <c r="S166" s="15"/>
    </row>
    <row r="167" ht="24" customHeight="1" spans="1:19">
      <c r="A167" s="5" t="s">
        <v>31</v>
      </c>
      <c r="B167" s="5" t="str">
        <f xml:space="preserve">IF(C167="","",IFERROR(INDEX(EQUIPES!$B$2:$B$600,MATCH(C167,EQUIPES!$C$2:$C$600,0))&amp;"",""))</f>
        <v/>
      </c>
      <c r="C167" s="4"/>
      <c r="D167" s="4"/>
      <c r="E167" s="4"/>
      <c r="F167" s="4"/>
      <c r="G167" s="5"/>
      <c r="H167" s="5"/>
      <c r="I167" s="5"/>
      <c r="J167" s="4"/>
      <c r="K167" s="5"/>
      <c r="L167" s="4"/>
      <c r="M167" s="16"/>
      <c r="N167" s="16"/>
      <c r="O167" s="16"/>
      <c r="P167" s="5"/>
      <c r="Q167" s="16"/>
      <c r="R167" s="5"/>
      <c r="S167" s="15"/>
    </row>
    <row r="168" ht="24" customHeight="1" spans="1:19">
      <c r="A168" s="5" t="s">
        <v>31</v>
      </c>
      <c r="B168" s="5" t="str">
        <f xml:space="preserve">IF(C168="","",IFERROR(INDEX(EQUIPES!$B$2:$B$600,MATCH(C168,EQUIPES!$C$2:$C$600,0))&amp;"",""))</f>
        <v/>
      </c>
      <c r="C168" s="4"/>
      <c r="D168" s="4"/>
      <c r="E168" s="4"/>
      <c r="F168" s="4"/>
      <c r="G168" s="5"/>
      <c r="H168" s="5"/>
      <c r="I168" s="5"/>
      <c r="J168" s="4"/>
      <c r="K168" s="5"/>
      <c r="L168" s="4"/>
      <c r="M168" s="16"/>
      <c r="N168" s="16"/>
      <c r="O168" s="16"/>
      <c r="P168" s="5"/>
      <c r="Q168" s="16"/>
      <c r="R168" s="5"/>
      <c r="S168" s="15"/>
    </row>
    <row r="169" ht="24" customHeight="1" spans="1:19">
      <c r="A169" s="5" t="s">
        <v>31</v>
      </c>
      <c r="B169" s="5" t="str">
        <f xml:space="preserve">IF(C169="","",IFERROR(INDEX(EQUIPES!$B$2:$B$600,MATCH(C169,EQUIPES!$C$2:$C$600,0))&amp;"",""))</f>
        <v/>
      </c>
      <c r="C169" s="4"/>
      <c r="D169" s="4"/>
      <c r="E169" s="4"/>
      <c r="F169" s="4"/>
      <c r="G169" s="5"/>
      <c r="H169" s="5"/>
      <c r="I169" s="5"/>
      <c r="J169" s="4"/>
      <c r="K169" s="5"/>
      <c r="L169" s="4"/>
      <c r="M169" s="16"/>
      <c r="N169" s="16"/>
      <c r="O169" s="16"/>
      <c r="P169" s="5"/>
      <c r="Q169" s="16"/>
      <c r="R169" s="5"/>
      <c r="S169" s="15"/>
    </row>
    <row r="170" ht="24" customHeight="1" spans="1:19">
      <c r="A170" s="5" t="s">
        <v>31</v>
      </c>
      <c r="B170" s="5" t="str">
        <f xml:space="preserve">IF(C170="","",IFERROR(INDEX(EQUIPES!$B$2:$B$600,MATCH(C170,EQUIPES!$C$2:$C$600,0))&amp;"",""))</f>
        <v/>
      </c>
      <c r="C170" s="4"/>
      <c r="D170" s="4"/>
      <c r="E170" s="4"/>
      <c r="F170" s="4"/>
      <c r="G170" s="5"/>
      <c r="H170" s="5"/>
      <c r="I170" s="5"/>
      <c r="J170" s="4"/>
      <c r="K170" s="5"/>
      <c r="L170" s="4"/>
      <c r="M170" s="16"/>
      <c r="N170" s="16"/>
      <c r="O170" s="16"/>
      <c r="P170" s="5"/>
      <c r="Q170" s="16"/>
      <c r="R170" s="5"/>
      <c r="S170" s="15"/>
    </row>
    <row r="171" ht="24" customHeight="1" spans="1:19">
      <c r="A171" s="5" t="s">
        <v>31</v>
      </c>
      <c r="B171" s="5" t="str">
        <f xml:space="preserve">IF(C171="","",IFERROR(INDEX(EQUIPES!$B$2:$B$600,MATCH(C171,EQUIPES!$C$2:$C$600,0))&amp;"",""))</f>
        <v/>
      </c>
      <c r="C171" s="4"/>
      <c r="D171" s="4"/>
      <c r="E171" s="4"/>
      <c r="F171" s="4"/>
      <c r="G171" s="5"/>
      <c r="H171" s="5"/>
      <c r="I171" s="5"/>
      <c r="J171" s="4"/>
      <c r="K171" s="5"/>
      <c r="L171" s="4"/>
      <c r="M171" s="16"/>
      <c r="N171" s="16"/>
      <c r="O171" s="16"/>
      <c r="P171" s="5"/>
      <c r="Q171" s="16"/>
      <c r="R171" s="5"/>
      <c r="S171" s="15"/>
    </row>
    <row r="172" ht="24" customHeight="1" spans="1:19">
      <c r="A172" s="5" t="s">
        <v>31</v>
      </c>
      <c r="B172" s="5" t="str">
        <f xml:space="preserve">IF(C172="","",IFERROR(INDEX(EQUIPES!$B$2:$B$600,MATCH(C172,EQUIPES!$C$2:$C$600,0))&amp;"",""))</f>
        <v/>
      </c>
      <c r="C172" s="4"/>
      <c r="D172" s="4"/>
      <c r="E172" s="4"/>
      <c r="F172" s="4"/>
      <c r="G172" s="5"/>
      <c r="H172" s="5"/>
      <c r="I172" s="5"/>
      <c r="J172" s="4"/>
      <c r="K172" s="5"/>
      <c r="L172" s="4"/>
      <c r="M172" s="16"/>
      <c r="N172" s="16"/>
      <c r="O172" s="16"/>
      <c r="P172" s="5"/>
      <c r="Q172" s="16"/>
      <c r="R172" s="5"/>
      <c r="S172" s="15"/>
    </row>
    <row r="173" ht="24" customHeight="1" spans="1:19">
      <c r="A173" s="5" t="s">
        <v>31</v>
      </c>
      <c r="B173" s="5" t="str">
        <f xml:space="preserve">IF(C173="","",IFERROR(INDEX(EQUIPES!$B$2:$B$600,MATCH(C173,EQUIPES!$C$2:$C$600,0))&amp;"",""))</f>
        <v/>
      </c>
      <c r="C173" s="4"/>
      <c r="D173" s="4"/>
      <c r="E173" s="4"/>
      <c r="F173" s="4"/>
      <c r="G173" s="5"/>
      <c r="H173" s="5"/>
      <c r="I173" s="5"/>
      <c r="J173" s="4"/>
      <c r="K173" s="5"/>
      <c r="L173" s="4"/>
      <c r="M173" s="16"/>
      <c r="N173" s="16"/>
      <c r="O173" s="16"/>
      <c r="P173" s="5"/>
      <c r="Q173" s="16"/>
      <c r="R173" s="5"/>
      <c r="S173" s="15"/>
    </row>
    <row r="174" ht="24" customHeight="1" spans="1:19">
      <c r="A174" s="5" t="s">
        <v>31</v>
      </c>
      <c r="B174" s="5" t="str">
        <f xml:space="preserve">IF(C174="","",IFERROR(INDEX(EQUIPES!$B$2:$B$600,MATCH(C174,EQUIPES!$C$2:$C$600,0))&amp;"",""))</f>
        <v/>
      </c>
      <c r="C174" s="4"/>
      <c r="D174" s="4"/>
      <c r="E174" s="4"/>
      <c r="F174" s="4"/>
      <c r="G174" s="5"/>
      <c r="H174" s="5"/>
      <c r="I174" s="5"/>
      <c r="J174" s="4"/>
      <c r="K174" s="5"/>
      <c r="L174" s="4"/>
      <c r="M174" s="16"/>
      <c r="N174" s="16"/>
      <c r="O174" s="16"/>
      <c r="P174" s="5"/>
      <c r="Q174" s="16"/>
      <c r="R174" s="5"/>
      <c r="S174" s="15"/>
    </row>
    <row r="175" ht="24" customHeight="1" spans="1:19">
      <c r="A175" s="5" t="s">
        <v>31</v>
      </c>
      <c r="B175" s="5" t="str">
        <f xml:space="preserve">IF(C175="","",IFERROR(INDEX(EQUIPES!$B$2:$B$600,MATCH(C175,EQUIPES!$C$2:$C$600,0))&amp;"",""))</f>
        <v/>
      </c>
      <c r="C175" s="4"/>
      <c r="D175" s="4"/>
      <c r="E175" s="4"/>
      <c r="F175" s="4"/>
      <c r="G175" s="5"/>
      <c r="H175" s="5"/>
      <c r="I175" s="5"/>
      <c r="J175" s="4"/>
      <c r="K175" s="5"/>
      <c r="L175" s="4"/>
      <c r="M175" s="16"/>
      <c r="N175" s="16"/>
      <c r="O175" s="16"/>
      <c r="P175" s="5"/>
      <c r="Q175" s="16"/>
      <c r="R175" s="5"/>
      <c r="S175" s="15"/>
    </row>
    <row r="176" ht="24" customHeight="1" spans="1:19">
      <c r="A176" s="5" t="s">
        <v>31</v>
      </c>
      <c r="B176" s="5" t="str">
        <f xml:space="preserve">IF(C176="","",IFERROR(INDEX(EQUIPES!$B$2:$B$600,MATCH(C176,EQUIPES!$C$2:$C$600,0))&amp;"",""))</f>
        <v/>
      </c>
      <c r="C176" s="4"/>
      <c r="D176" s="4"/>
      <c r="E176" s="4"/>
      <c r="F176" s="4"/>
      <c r="G176" s="5"/>
      <c r="H176" s="5"/>
      <c r="I176" s="5"/>
      <c r="J176" s="4"/>
      <c r="K176" s="5"/>
      <c r="L176" s="4"/>
      <c r="M176" s="16"/>
      <c r="N176" s="16"/>
      <c r="O176" s="16"/>
      <c r="P176" s="5"/>
      <c r="Q176" s="16"/>
      <c r="R176" s="5"/>
      <c r="S176" s="15"/>
    </row>
    <row r="177" ht="24" customHeight="1" spans="1:19">
      <c r="A177" s="5" t="s">
        <v>31</v>
      </c>
      <c r="B177" s="5" t="str">
        <f xml:space="preserve">IF(C177="","",IFERROR(INDEX(EQUIPES!$B$2:$B$600,MATCH(C177,EQUIPES!$C$2:$C$600,0))&amp;"",""))</f>
        <v/>
      </c>
      <c r="C177" s="4"/>
      <c r="D177" s="4"/>
      <c r="E177" s="4"/>
      <c r="F177" s="4"/>
      <c r="G177" s="5"/>
      <c r="H177" s="5"/>
      <c r="I177" s="5"/>
      <c r="J177" s="4"/>
      <c r="K177" s="5"/>
      <c r="L177" s="4"/>
      <c r="M177" s="16"/>
      <c r="N177" s="16"/>
      <c r="O177" s="16"/>
      <c r="P177" s="5"/>
      <c r="Q177" s="16"/>
      <c r="R177" s="5"/>
      <c r="S177" s="15"/>
    </row>
    <row r="178" ht="24" customHeight="1" spans="1:19">
      <c r="A178" s="5" t="s">
        <v>31</v>
      </c>
      <c r="B178" s="5" t="str">
        <f xml:space="preserve">IF(C178="","",IFERROR(INDEX(EQUIPES!$B$2:$B$600,MATCH(C178,EQUIPES!$C$2:$C$600,0))&amp;"",""))</f>
        <v/>
      </c>
      <c r="C178" s="4"/>
      <c r="D178" s="4"/>
      <c r="E178" s="4"/>
      <c r="F178" s="4"/>
      <c r="G178" s="5"/>
      <c r="H178" s="5"/>
      <c r="I178" s="5"/>
      <c r="J178" s="4"/>
      <c r="K178" s="5"/>
      <c r="L178" s="4"/>
      <c r="M178" s="16"/>
      <c r="N178" s="16"/>
      <c r="O178" s="16"/>
      <c r="P178" s="5"/>
      <c r="Q178" s="16"/>
      <c r="R178" s="5"/>
      <c r="S178" s="15"/>
    </row>
    <row r="179" ht="24" customHeight="1" spans="1:19">
      <c r="A179" s="5" t="s">
        <v>31</v>
      </c>
      <c r="B179" s="5" t="str">
        <f xml:space="preserve">IF(C179="","",IFERROR(INDEX(EQUIPES!$B$2:$B$600,MATCH(C179,EQUIPES!$C$2:$C$600,0))&amp;"",""))</f>
        <v/>
      </c>
      <c r="C179" s="4"/>
      <c r="D179" s="4"/>
      <c r="E179" s="4"/>
      <c r="F179" s="4"/>
      <c r="G179" s="5"/>
      <c r="H179" s="5"/>
      <c r="I179" s="5"/>
      <c r="J179" s="4"/>
      <c r="K179" s="5"/>
      <c r="L179" s="4"/>
      <c r="M179" s="16"/>
      <c r="N179" s="16"/>
      <c r="O179" s="16"/>
      <c r="P179" s="5"/>
      <c r="Q179" s="16"/>
      <c r="R179" s="5"/>
      <c r="S179" s="15"/>
    </row>
    <row r="180" ht="24" customHeight="1" spans="1:19">
      <c r="A180" s="5" t="s">
        <v>31</v>
      </c>
      <c r="B180" s="5" t="str">
        <f xml:space="preserve">IF(C180="","",IFERROR(INDEX(EQUIPES!$B$2:$B$600,MATCH(C180,EQUIPES!$C$2:$C$600,0))&amp;"",""))</f>
        <v/>
      </c>
      <c r="C180" s="4"/>
      <c r="D180" s="4"/>
      <c r="E180" s="4"/>
      <c r="F180" s="4"/>
      <c r="G180" s="5"/>
      <c r="H180" s="5"/>
      <c r="I180" s="5"/>
      <c r="J180" s="4"/>
      <c r="K180" s="5"/>
      <c r="L180" s="4"/>
      <c r="M180" s="16"/>
      <c r="N180" s="16"/>
      <c r="O180" s="16"/>
      <c r="P180" s="5"/>
      <c r="Q180" s="16"/>
      <c r="R180" s="5"/>
      <c r="S180" s="15"/>
    </row>
    <row r="181" ht="24" customHeight="1" spans="1:19">
      <c r="A181" s="5" t="s">
        <v>31</v>
      </c>
      <c r="B181" s="5" t="str">
        <f xml:space="preserve">IF(C181="","",IFERROR(INDEX(EQUIPES!$B$2:$B$600,MATCH(C181,EQUIPES!$C$2:$C$600,0))&amp;"",""))</f>
        <v/>
      </c>
      <c r="C181" s="4"/>
      <c r="D181" s="4"/>
      <c r="E181" s="4"/>
      <c r="F181" s="4"/>
      <c r="G181" s="5"/>
      <c r="H181" s="5"/>
      <c r="I181" s="5"/>
      <c r="J181" s="4"/>
      <c r="K181" s="5"/>
      <c r="L181" s="4"/>
      <c r="M181" s="16"/>
      <c r="N181" s="16"/>
      <c r="O181" s="16"/>
      <c r="P181" s="5"/>
      <c r="Q181" s="16"/>
      <c r="R181" s="5"/>
      <c r="S181" s="15"/>
    </row>
    <row r="182" ht="24" customHeight="1" spans="1:19">
      <c r="A182" s="5" t="s">
        <v>31</v>
      </c>
      <c r="B182" s="5" t="str">
        <f xml:space="preserve">IF(C182="","",IFERROR(INDEX(EQUIPES!$B$2:$B$600,MATCH(C182,EQUIPES!$C$2:$C$600,0))&amp;"",""))</f>
        <v/>
      </c>
      <c r="C182" s="4"/>
      <c r="D182" s="4"/>
      <c r="E182" s="4"/>
      <c r="F182" s="4"/>
      <c r="G182" s="5"/>
      <c r="H182" s="5"/>
      <c r="I182" s="5"/>
      <c r="J182" s="4"/>
      <c r="K182" s="5"/>
      <c r="L182" s="4"/>
      <c r="M182" s="16"/>
      <c r="N182" s="16"/>
      <c r="O182" s="16"/>
      <c r="P182" s="5"/>
      <c r="Q182" s="16"/>
      <c r="R182" s="5"/>
      <c r="S182" s="15"/>
    </row>
    <row r="183" ht="24" customHeight="1" spans="1:19">
      <c r="A183" s="5" t="s">
        <v>31</v>
      </c>
      <c r="B183" s="5" t="str">
        <f xml:space="preserve">IF(C183="","",IFERROR(INDEX(EQUIPES!$B$2:$B$600,MATCH(C183,EQUIPES!$C$2:$C$600,0))&amp;"",""))</f>
        <v/>
      </c>
      <c r="C183" s="4"/>
      <c r="D183" s="4"/>
      <c r="E183" s="4"/>
      <c r="F183" s="4"/>
      <c r="G183" s="5"/>
      <c r="H183" s="5"/>
      <c r="I183" s="5"/>
      <c r="J183" s="4"/>
      <c r="K183" s="5"/>
      <c r="L183" s="4"/>
      <c r="M183" s="16"/>
      <c r="N183" s="16"/>
      <c r="O183" s="16"/>
      <c r="P183" s="5"/>
      <c r="Q183" s="16"/>
      <c r="R183" s="5"/>
      <c r="S183" s="15"/>
    </row>
    <row r="184" ht="24" customHeight="1" spans="1:19">
      <c r="A184" s="5" t="s">
        <v>31</v>
      </c>
      <c r="B184" s="5" t="str">
        <f xml:space="preserve">IF(C184="","",IFERROR(INDEX(EQUIPES!$B$2:$B$600,MATCH(C184,EQUIPES!$C$2:$C$600,0))&amp;"",""))</f>
        <v/>
      </c>
      <c r="C184" s="4"/>
      <c r="D184" s="4"/>
      <c r="E184" s="4"/>
      <c r="F184" s="4"/>
      <c r="G184" s="5"/>
      <c r="H184" s="5"/>
      <c r="I184" s="5"/>
      <c r="J184" s="4"/>
      <c r="K184" s="5"/>
      <c r="L184" s="4"/>
      <c r="M184" s="16"/>
      <c r="N184" s="16"/>
      <c r="O184" s="16"/>
      <c r="P184" s="5"/>
      <c r="Q184" s="16"/>
      <c r="R184" s="5"/>
      <c r="S184" s="15"/>
    </row>
    <row r="185" ht="24" customHeight="1" spans="1:19">
      <c r="A185" s="5" t="s">
        <v>31</v>
      </c>
      <c r="B185" s="5" t="str">
        <f xml:space="preserve">IF(C185="","",IFERROR(INDEX(EQUIPES!$B$2:$B$600,MATCH(C185,EQUIPES!$C$2:$C$600,0))&amp;"",""))</f>
        <v/>
      </c>
      <c r="C185" s="4"/>
      <c r="D185" s="4"/>
      <c r="E185" s="4"/>
      <c r="F185" s="4"/>
      <c r="G185" s="5"/>
      <c r="H185" s="5"/>
      <c r="I185" s="5"/>
      <c r="J185" s="4"/>
      <c r="K185" s="5"/>
      <c r="L185" s="4"/>
      <c r="M185" s="16"/>
      <c r="N185" s="16"/>
      <c r="O185" s="16"/>
      <c r="P185" s="5"/>
      <c r="Q185" s="16"/>
      <c r="R185" s="5"/>
      <c r="S185" s="15"/>
    </row>
    <row r="186" ht="24" customHeight="1" spans="1:19">
      <c r="A186" s="5" t="s">
        <v>31</v>
      </c>
      <c r="B186" s="5" t="str">
        <f xml:space="preserve">IF(C186="","",IFERROR(INDEX(EQUIPES!$B$2:$B$600,MATCH(C186,EQUIPES!$C$2:$C$600,0))&amp;"",""))</f>
        <v/>
      </c>
      <c r="C186" s="4"/>
      <c r="D186" s="4"/>
      <c r="E186" s="4"/>
      <c r="F186" s="4"/>
      <c r="G186" s="5"/>
      <c r="H186" s="5"/>
      <c r="I186" s="5"/>
      <c r="J186" s="4"/>
      <c r="K186" s="5"/>
      <c r="L186" s="4"/>
      <c r="M186" s="16"/>
      <c r="N186" s="16"/>
      <c r="O186" s="16"/>
      <c r="P186" s="5"/>
      <c r="Q186" s="16"/>
      <c r="R186" s="5"/>
      <c r="S186" s="15"/>
    </row>
    <row r="187" ht="24" customHeight="1" spans="1:19">
      <c r="A187" s="5" t="s">
        <v>31</v>
      </c>
      <c r="B187" s="5" t="str">
        <f xml:space="preserve">IF(C187="","",IFERROR(INDEX(EQUIPES!$B$2:$B$600,MATCH(C187,EQUIPES!$C$2:$C$600,0))&amp;"",""))</f>
        <v/>
      </c>
      <c r="C187" s="4"/>
      <c r="D187" s="4"/>
      <c r="E187" s="4"/>
      <c r="F187" s="4"/>
      <c r="G187" s="5"/>
      <c r="H187" s="5"/>
      <c r="I187" s="5"/>
      <c r="J187" s="4"/>
      <c r="K187" s="5"/>
      <c r="L187" s="4"/>
      <c r="M187" s="16"/>
      <c r="N187" s="16"/>
      <c r="O187" s="16"/>
      <c r="P187" s="5"/>
      <c r="Q187" s="16"/>
      <c r="R187" s="5"/>
      <c r="S187" s="15"/>
    </row>
    <row r="188" ht="24" customHeight="1" spans="1:19">
      <c r="A188" s="5" t="s">
        <v>31</v>
      </c>
      <c r="B188" s="5" t="str">
        <f xml:space="preserve">IF(C188="","",IFERROR(INDEX(EQUIPES!$B$2:$B$600,MATCH(C188,EQUIPES!$C$2:$C$600,0))&amp;"",""))</f>
        <v/>
      </c>
      <c r="C188" s="4"/>
      <c r="D188" s="4"/>
      <c r="E188" s="4"/>
      <c r="F188" s="4"/>
      <c r="G188" s="5"/>
      <c r="H188" s="5"/>
      <c r="I188" s="5"/>
      <c r="J188" s="4"/>
      <c r="K188" s="5"/>
      <c r="L188" s="4"/>
      <c r="M188" s="16"/>
      <c r="N188" s="16"/>
      <c r="O188" s="16"/>
      <c r="P188" s="5"/>
      <c r="Q188" s="16"/>
      <c r="R188" s="5"/>
      <c r="S188" s="15"/>
    </row>
    <row r="189" ht="24" customHeight="1" spans="1:19">
      <c r="A189" s="5" t="s">
        <v>31</v>
      </c>
      <c r="B189" s="5" t="str">
        <f xml:space="preserve">IF(C189="","",IFERROR(INDEX(EQUIPES!$B$2:$B$600,MATCH(C189,EQUIPES!$C$2:$C$600,0))&amp;"",""))</f>
        <v/>
      </c>
      <c r="C189" s="4"/>
      <c r="D189" s="4"/>
      <c r="E189" s="4"/>
      <c r="F189" s="4"/>
      <c r="G189" s="5"/>
      <c r="H189" s="5"/>
      <c r="I189" s="5"/>
      <c r="J189" s="4"/>
      <c r="K189" s="5"/>
      <c r="L189" s="4"/>
      <c r="M189" s="16"/>
      <c r="N189" s="16"/>
      <c r="O189" s="16"/>
      <c r="P189" s="5"/>
      <c r="Q189" s="16"/>
      <c r="R189" s="5"/>
      <c r="S189" s="15"/>
    </row>
    <row r="190" ht="24" customHeight="1" spans="1:19">
      <c r="A190" s="5" t="s">
        <v>31</v>
      </c>
      <c r="B190" s="5" t="str">
        <f xml:space="preserve">IF(C190="","",IFERROR(INDEX(EQUIPES!$B$2:$B$600,MATCH(C190,EQUIPES!$C$2:$C$600,0))&amp;"",""))</f>
        <v/>
      </c>
      <c r="C190" s="4"/>
      <c r="D190" s="4"/>
      <c r="E190" s="4"/>
      <c r="F190" s="4"/>
      <c r="G190" s="5"/>
      <c r="H190" s="5"/>
      <c r="I190" s="5"/>
      <c r="J190" s="4"/>
      <c r="K190" s="5"/>
      <c r="L190" s="4"/>
      <c r="M190" s="16"/>
      <c r="N190" s="16"/>
      <c r="O190" s="16"/>
      <c r="P190" s="5"/>
      <c r="Q190" s="16"/>
      <c r="R190" s="5"/>
      <c r="S190" s="15"/>
    </row>
    <row r="191" ht="24" customHeight="1" spans="1:19">
      <c r="A191" s="5" t="s">
        <v>31</v>
      </c>
      <c r="B191" s="5" t="str">
        <f xml:space="preserve">IF(C191="","",IFERROR(INDEX(EQUIPES!$B$2:$B$600,MATCH(C191,EQUIPES!$C$2:$C$600,0))&amp;"",""))</f>
        <v/>
      </c>
      <c r="C191" s="4"/>
      <c r="D191" s="4"/>
      <c r="E191" s="4"/>
      <c r="F191" s="4"/>
      <c r="G191" s="5"/>
      <c r="H191" s="5"/>
      <c r="I191" s="5"/>
      <c r="J191" s="4"/>
      <c r="K191" s="5"/>
      <c r="L191" s="4"/>
      <c r="M191" s="16"/>
      <c r="N191" s="16"/>
      <c r="O191" s="16"/>
      <c r="P191" s="5"/>
      <c r="Q191" s="16"/>
      <c r="R191" s="5"/>
      <c r="S191" s="15"/>
    </row>
    <row r="192" ht="24" customHeight="1" spans="1:19">
      <c r="A192" s="5" t="s">
        <v>31</v>
      </c>
      <c r="B192" s="5" t="str">
        <f xml:space="preserve">IF(C192="","",IFERROR(INDEX(EQUIPES!$B$2:$B$600,MATCH(C192,EQUIPES!$C$2:$C$600,0))&amp;"",""))</f>
        <v/>
      </c>
      <c r="C192" s="4"/>
      <c r="D192" s="4"/>
      <c r="E192" s="4"/>
      <c r="F192" s="4"/>
      <c r="G192" s="5"/>
      <c r="H192" s="5"/>
      <c r="I192" s="5"/>
      <c r="J192" s="4"/>
      <c r="K192" s="5"/>
      <c r="L192" s="4"/>
      <c r="M192" s="16"/>
      <c r="N192" s="16"/>
      <c r="O192" s="16"/>
      <c r="P192" s="5"/>
      <c r="Q192" s="16"/>
      <c r="R192" s="5"/>
      <c r="S192" s="15"/>
    </row>
    <row r="193" ht="24" customHeight="1" spans="1:19">
      <c r="A193" s="5" t="s">
        <v>31</v>
      </c>
      <c r="B193" s="5" t="str">
        <f xml:space="preserve">IF(C193="","",IFERROR(INDEX(EQUIPES!$B$2:$B$600,MATCH(C193,EQUIPES!$C$2:$C$600,0))&amp;"",""))</f>
        <v/>
      </c>
      <c r="C193" s="4"/>
      <c r="D193" s="4"/>
      <c r="E193" s="4"/>
      <c r="F193" s="4"/>
      <c r="G193" s="5"/>
      <c r="H193" s="5"/>
      <c r="I193" s="5"/>
      <c r="J193" s="4"/>
      <c r="K193" s="5"/>
      <c r="L193" s="4"/>
      <c r="M193" s="16"/>
      <c r="N193" s="16"/>
      <c r="O193" s="16"/>
      <c r="P193" s="5"/>
      <c r="Q193" s="16"/>
      <c r="R193" s="5"/>
      <c r="S193" s="15"/>
    </row>
    <row r="194" ht="24" customHeight="1" spans="1:19">
      <c r="A194" s="5" t="s">
        <v>31</v>
      </c>
      <c r="B194" s="5" t="str">
        <f xml:space="preserve">IF(C194="","",IFERROR(INDEX(EQUIPES!$B$2:$B$600,MATCH(C194,EQUIPES!$C$2:$C$600,0))&amp;"",""))</f>
        <v/>
      </c>
      <c r="C194" s="4"/>
      <c r="D194" s="4"/>
      <c r="E194" s="4"/>
      <c r="F194" s="4"/>
      <c r="G194" s="5"/>
      <c r="H194" s="5"/>
      <c r="I194" s="5"/>
      <c r="J194" s="4"/>
      <c r="K194" s="5"/>
      <c r="L194" s="4"/>
      <c r="M194" s="16"/>
      <c r="N194" s="16"/>
      <c r="O194" s="16"/>
      <c r="P194" s="5"/>
      <c r="Q194" s="16"/>
      <c r="R194" s="5"/>
      <c r="S194" s="15"/>
    </row>
    <row r="195" ht="24" customHeight="1" spans="1:19">
      <c r="A195" s="5" t="s">
        <v>31</v>
      </c>
      <c r="B195" s="5" t="str">
        <f xml:space="preserve">IF(C195="","",IFERROR(INDEX(EQUIPES!$B$2:$B$600,MATCH(C195,EQUIPES!$C$2:$C$600,0))&amp;"",""))</f>
        <v/>
      </c>
      <c r="C195" s="4"/>
      <c r="D195" s="4"/>
      <c r="E195" s="4"/>
      <c r="F195" s="4"/>
      <c r="G195" s="5"/>
      <c r="H195" s="5"/>
      <c r="I195" s="5"/>
      <c r="J195" s="4"/>
      <c r="K195" s="5"/>
      <c r="L195" s="4"/>
      <c r="M195" s="16"/>
      <c r="N195" s="16"/>
      <c r="O195" s="16"/>
      <c r="P195" s="5"/>
      <c r="Q195" s="16"/>
      <c r="R195" s="5"/>
      <c r="S195" s="15"/>
    </row>
    <row r="196" ht="24" customHeight="1" spans="1:19">
      <c r="A196" s="5" t="s">
        <v>31</v>
      </c>
      <c r="B196" s="5" t="str">
        <f xml:space="preserve">IF(C196="","",IFERROR(INDEX(EQUIPES!$B$2:$B$600,MATCH(C196,EQUIPES!$C$2:$C$600,0))&amp;"",""))</f>
        <v/>
      </c>
      <c r="C196" s="4"/>
      <c r="D196" s="4"/>
      <c r="E196" s="4"/>
      <c r="F196" s="4"/>
      <c r="G196" s="5"/>
      <c r="H196" s="5"/>
      <c r="I196" s="5"/>
      <c r="J196" s="4"/>
      <c r="K196" s="5"/>
      <c r="L196" s="4"/>
      <c r="M196" s="16"/>
      <c r="N196" s="16"/>
      <c r="O196" s="16"/>
      <c r="P196" s="5"/>
      <c r="Q196" s="16"/>
      <c r="R196" s="5"/>
      <c r="S196" s="15"/>
    </row>
    <row r="197" ht="24" customHeight="1" spans="1:19">
      <c r="A197" s="5" t="s">
        <v>31</v>
      </c>
      <c r="B197" s="5" t="str">
        <f xml:space="preserve">IF(C197="","",IFERROR(INDEX(EQUIPES!$B$2:$B$600,MATCH(C197,EQUIPES!$C$2:$C$600,0))&amp;"",""))</f>
        <v/>
      </c>
      <c r="C197" s="4"/>
      <c r="D197" s="4"/>
      <c r="E197" s="4"/>
      <c r="F197" s="4"/>
      <c r="G197" s="5"/>
      <c r="H197" s="5"/>
      <c r="I197" s="5"/>
      <c r="J197" s="4"/>
      <c r="K197" s="5"/>
      <c r="L197" s="4"/>
      <c r="M197" s="16"/>
      <c r="N197" s="16"/>
      <c r="O197" s="16"/>
      <c r="P197" s="5"/>
      <c r="Q197" s="16"/>
      <c r="R197" s="5"/>
      <c r="S197" s="15"/>
    </row>
    <row r="198" ht="24" customHeight="1" spans="1:19">
      <c r="A198" s="5" t="s">
        <v>31</v>
      </c>
      <c r="B198" s="5" t="str">
        <f xml:space="preserve">IF(C198="","",IFERROR(INDEX(EQUIPES!$B$2:$B$600,MATCH(C198,EQUIPES!$C$2:$C$600,0))&amp;"",""))</f>
        <v/>
      </c>
      <c r="C198" s="4"/>
      <c r="D198" s="4"/>
      <c r="E198" s="4"/>
      <c r="F198" s="4"/>
      <c r="G198" s="5"/>
      <c r="H198" s="5"/>
      <c r="I198" s="5"/>
      <c r="J198" s="4"/>
      <c r="K198" s="5"/>
      <c r="L198" s="4"/>
      <c r="M198" s="16"/>
      <c r="N198" s="16"/>
      <c r="O198" s="16"/>
      <c r="P198" s="5"/>
      <c r="Q198" s="16"/>
      <c r="R198" s="5"/>
      <c r="S198" s="15"/>
    </row>
    <row r="199" ht="24" customHeight="1" spans="1:19">
      <c r="A199" s="5" t="s">
        <v>31</v>
      </c>
      <c r="B199" s="5" t="str">
        <f xml:space="preserve">IF(C199="","",IFERROR(INDEX(EQUIPES!$B$2:$B$600,MATCH(C199,EQUIPES!$C$2:$C$600,0))&amp;"",""))</f>
        <v/>
      </c>
      <c r="C199" s="4"/>
      <c r="D199" s="4"/>
      <c r="E199" s="4"/>
      <c r="F199" s="4"/>
      <c r="G199" s="5"/>
      <c r="H199" s="5"/>
      <c r="I199" s="5"/>
      <c r="J199" s="4"/>
      <c r="K199" s="5"/>
      <c r="L199" s="4"/>
      <c r="M199" s="16"/>
      <c r="N199" s="16"/>
      <c r="O199" s="16"/>
      <c r="P199" s="5"/>
      <c r="Q199" s="16"/>
      <c r="R199" s="5"/>
      <c r="S199" s="15"/>
    </row>
    <row r="200" ht="24" customHeight="1" spans="1:19">
      <c r="A200" s="5" t="s">
        <v>31</v>
      </c>
      <c r="B200" s="5" t="str">
        <f xml:space="preserve">IF(C200="","",IFERROR(INDEX(EQUIPES!$B$2:$B$600,MATCH(C200,EQUIPES!$C$2:$C$600,0))&amp;"",""))</f>
        <v/>
      </c>
      <c r="C200" s="4"/>
      <c r="D200" s="4"/>
      <c r="E200" s="4"/>
      <c r="F200" s="4"/>
      <c r="G200" s="5"/>
      <c r="H200" s="5"/>
      <c r="I200" s="5"/>
      <c r="J200" s="4"/>
      <c r="K200" s="5"/>
      <c r="L200" s="4"/>
      <c r="M200" s="16"/>
      <c r="N200" s="16"/>
      <c r="O200" s="16"/>
      <c r="P200" s="5"/>
      <c r="Q200" s="16"/>
      <c r="R200" s="5"/>
      <c r="S200" s="15"/>
    </row>
    <row r="201" ht="24" customHeight="1" spans="1:19">
      <c r="A201" s="5" t="s">
        <v>31</v>
      </c>
      <c r="B201" s="5" t="str">
        <f xml:space="preserve">IF(C201="","",IFERROR(INDEX(EQUIPES!$B$2:$B$600,MATCH(C201,EQUIPES!$C$2:$C$600,0))&amp;"",""))</f>
        <v/>
      </c>
      <c r="C201" s="4"/>
      <c r="D201" s="4"/>
      <c r="E201" s="4"/>
      <c r="F201" s="4"/>
      <c r="G201" s="5"/>
      <c r="H201" s="5"/>
      <c r="I201" s="5"/>
      <c r="J201" s="4"/>
      <c r="K201" s="5"/>
      <c r="L201" s="4"/>
      <c r="M201" s="16"/>
      <c r="N201" s="16"/>
      <c r="O201" s="16"/>
      <c r="P201" s="5"/>
      <c r="Q201" s="16"/>
      <c r="R201" s="5"/>
      <c r="S201" s="15"/>
    </row>
    <row r="202" ht="24" customHeight="1" spans="1:19">
      <c r="A202" s="5" t="s">
        <v>31</v>
      </c>
      <c r="B202" s="5" t="str">
        <f xml:space="preserve">IF(C202="","",IFERROR(INDEX(EQUIPES!$B$2:$B$600,MATCH(C202,EQUIPES!$C$2:$C$600,0))&amp;"",""))</f>
        <v/>
      </c>
      <c r="C202" s="4"/>
      <c r="D202" s="4"/>
      <c r="E202" s="4"/>
      <c r="F202" s="4"/>
      <c r="G202" s="5"/>
      <c r="H202" s="5"/>
      <c r="I202" s="5"/>
      <c r="J202" s="4"/>
      <c r="K202" s="5"/>
      <c r="L202" s="4"/>
      <c r="M202" s="16"/>
      <c r="N202" s="16"/>
      <c r="O202" s="16"/>
      <c r="P202" s="5"/>
      <c r="Q202" s="16"/>
      <c r="R202" s="5"/>
      <c r="S202" s="15"/>
    </row>
    <row r="203" ht="24" customHeight="1" spans="1:19">
      <c r="A203" s="5" t="s">
        <v>31</v>
      </c>
      <c r="B203" s="5" t="str">
        <f xml:space="preserve">IF(C203="","",IFERROR(INDEX(EQUIPES!$B$2:$B$600,MATCH(C203,EQUIPES!$C$2:$C$600,0))&amp;"",""))</f>
        <v/>
      </c>
      <c r="C203" s="4"/>
      <c r="D203" s="4"/>
      <c r="E203" s="4"/>
      <c r="F203" s="4"/>
      <c r="G203" s="5"/>
      <c r="H203" s="5"/>
      <c r="I203" s="5"/>
      <c r="J203" s="4"/>
      <c r="K203" s="5"/>
      <c r="L203" s="4"/>
      <c r="M203" s="16"/>
      <c r="N203" s="16"/>
      <c r="O203" s="16"/>
      <c r="P203" s="5"/>
      <c r="Q203" s="16"/>
      <c r="R203" s="5"/>
      <c r="S203" s="15"/>
    </row>
    <row r="204" ht="24" customHeight="1" spans="1:19">
      <c r="A204" s="5" t="s">
        <v>31</v>
      </c>
      <c r="B204" s="5" t="str">
        <f xml:space="preserve">IF(C204="","",IFERROR(INDEX(EQUIPES!$B$2:$B$600,MATCH(C204,EQUIPES!$C$2:$C$600,0))&amp;"",""))</f>
        <v/>
      </c>
      <c r="C204" s="4"/>
      <c r="D204" s="4"/>
      <c r="E204" s="4"/>
      <c r="F204" s="4"/>
      <c r="G204" s="5"/>
      <c r="H204" s="5"/>
      <c r="I204" s="5"/>
      <c r="J204" s="4"/>
      <c r="K204" s="5"/>
      <c r="L204" s="4"/>
      <c r="M204" s="16"/>
      <c r="N204" s="16"/>
      <c r="O204" s="16"/>
      <c r="P204" s="5"/>
      <c r="Q204" s="16"/>
      <c r="R204" s="5"/>
      <c r="S204" s="15"/>
    </row>
    <row r="205" ht="24" customHeight="1" spans="1:19">
      <c r="A205" s="5" t="s">
        <v>31</v>
      </c>
      <c r="B205" s="5" t="str">
        <f xml:space="preserve">IF(C205="","",IFERROR(INDEX(EQUIPES!$B$2:$B$600,MATCH(C205,EQUIPES!$C$2:$C$600,0))&amp;"",""))</f>
        <v/>
      </c>
      <c r="C205" s="4"/>
      <c r="D205" s="4"/>
      <c r="E205" s="4"/>
      <c r="F205" s="4"/>
      <c r="G205" s="5"/>
      <c r="H205" s="5"/>
      <c r="I205" s="5"/>
      <c r="J205" s="4"/>
      <c r="K205" s="5"/>
      <c r="L205" s="4"/>
      <c r="M205" s="16"/>
      <c r="N205" s="16"/>
      <c r="O205" s="16"/>
      <c r="P205" s="5"/>
      <c r="Q205" s="16"/>
      <c r="R205" s="5"/>
      <c r="S205" s="15"/>
    </row>
    <row r="206" ht="24" customHeight="1" spans="1:19">
      <c r="A206" s="5" t="s">
        <v>31</v>
      </c>
      <c r="B206" s="5" t="str">
        <f xml:space="preserve">IF(C206="","",IFERROR(INDEX(EQUIPES!$B$2:$B$600,MATCH(C206,EQUIPES!$C$2:$C$600,0))&amp;"",""))</f>
        <v/>
      </c>
      <c r="C206" s="4"/>
      <c r="D206" s="4"/>
      <c r="E206" s="4"/>
      <c r="F206" s="4"/>
      <c r="G206" s="5"/>
      <c r="H206" s="5"/>
      <c r="I206" s="5"/>
      <c r="J206" s="4"/>
      <c r="K206" s="5"/>
      <c r="L206" s="4"/>
      <c r="M206" s="16"/>
      <c r="N206" s="16"/>
      <c r="O206" s="16"/>
      <c r="P206" s="5"/>
      <c r="Q206" s="16"/>
      <c r="R206" s="5"/>
      <c r="S206" s="15"/>
    </row>
    <row r="207" ht="24" customHeight="1" spans="1:19">
      <c r="A207" s="5" t="s">
        <v>31</v>
      </c>
      <c r="B207" s="5" t="str">
        <f xml:space="preserve">IF(C207="","",IFERROR(INDEX(EQUIPES!$B$2:$B$600,MATCH(C207,EQUIPES!$C$2:$C$600,0))&amp;"",""))</f>
        <v/>
      </c>
      <c r="C207" s="4"/>
      <c r="D207" s="4"/>
      <c r="E207" s="4"/>
      <c r="F207" s="4"/>
      <c r="G207" s="5"/>
      <c r="H207" s="5"/>
      <c r="I207" s="5"/>
      <c r="J207" s="4"/>
      <c r="K207" s="5"/>
      <c r="L207" s="4"/>
      <c r="M207" s="16"/>
      <c r="N207" s="16"/>
      <c r="O207" s="16"/>
      <c r="P207" s="5"/>
      <c r="Q207" s="16"/>
      <c r="R207" s="5"/>
      <c r="S207" s="15"/>
    </row>
    <row r="208" ht="24" customHeight="1" spans="1:19">
      <c r="A208" s="5" t="s">
        <v>31</v>
      </c>
      <c r="B208" s="5" t="str">
        <f xml:space="preserve">IF(C208="","",IFERROR(INDEX(EQUIPES!$B$2:$B$600,MATCH(C208,EQUIPES!$C$2:$C$600,0))&amp;"",""))</f>
        <v/>
      </c>
      <c r="C208" s="4"/>
      <c r="D208" s="4"/>
      <c r="E208" s="4"/>
      <c r="F208" s="4"/>
      <c r="G208" s="5"/>
      <c r="H208" s="5"/>
      <c r="I208" s="5"/>
      <c r="J208" s="4"/>
      <c r="K208" s="5"/>
      <c r="L208" s="4"/>
      <c r="M208" s="16"/>
      <c r="N208" s="16"/>
      <c r="O208" s="16"/>
      <c r="P208" s="5"/>
      <c r="Q208" s="16"/>
      <c r="R208" s="5"/>
      <c r="S208" s="15"/>
    </row>
    <row r="209" ht="24" customHeight="1" spans="1:19">
      <c r="A209" s="5" t="s">
        <v>31</v>
      </c>
      <c r="B209" s="5" t="str">
        <f xml:space="preserve">IF(C209="","",IFERROR(INDEX(EQUIPES!$B$2:$B$600,MATCH(C209,EQUIPES!$C$2:$C$600,0))&amp;"",""))</f>
        <v/>
      </c>
      <c r="C209" s="4"/>
      <c r="D209" s="4"/>
      <c r="E209" s="4"/>
      <c r="F209" s="4"/>
      <c r="G209" s="5"/>
      <c r="H209" s="5"/>
      <c r="I209" s="5"/>
      <c r="J209" s="4"/>
      <c r="K209" s="5"/>
      <c r="L209" s="4"/>
      <c r="M209" s="16"/>
      <c r="N209" s="16"/>
      <c r="O209" s="16"/>
      <c r="P209" s="5"/>
      <c r="Q209" s="16"/>
      <c r="R209" s="5"/>
      <c r="S209" s="15"/>
    </row>
    <row r="210" ht="24" customHeight="1" spans="1:19">
      <c r="A210" s="5" t="s">
        <v>31</v>
      </c>
      <c r="B210" s="5" t="str">
        <f xml:space="preserve">IF(C210="","",IFERROR(INDEX(EQUIPES!$B$2:$B$600,MATCH(C210,EQUIPES!$C$2:$C$600,0))&amp;"",""))</f>
        <v/>
      </c>
      <c r="C210" s="4"/>
      <c r="D210" s="4"/>
      <c r="E210" s="4"/>
      <c r="F210" s="4"/>
      <c r="G210" s="5"/>
      <c r="H210" s="5"/>
      <c r="I210" s="5"/>
      <c r="J210" s="4"/>
      <c r="K210" s="5"/>
      <c r="L210" s="4"/>
      <c r="M210" s="16"/>
      <c r="N210" s="16"/>
      <c r="O210" s="16"/>
      <c r="P210" s="5"/>
      <c r="Q210" s="16"/>
      <c r="R210" s="5"/>
      <c r="S210" s="15"/>
    </row>
    <row r="211" ht="24" customHeight="1" spans="1:19">
      <c r="A211" s="5" t="s">
        <v>31</v>
      </c>
      <c r="B211" s="5" t="str">
        <f xml:space="preserve">IF(C211="","",IFERROR(INDEX(EQUIPES!$B$2:$B$600,MATCH(C211,EQUIPES!$C$2:$C$600,0))&amp;"",""))</f>
        <v/>
      </c>
      <c r="C211" s="4"/>
      <c r="D211" s="4"/>
      <c r="E211" s="4"/>
      <c r="F211" s="4"/>
      <c r="G211" s="5"/>
      <c r="H211" s="5"/>
      <c r="I211" s="5"/>
      <c r="J211" s="4"/>
      <c r="K211" s="5"/>
      <c r="L211" s="4"/>
      <c r="M211" s="16"/>
      <c r="N211" s="16"/>
      <c r="O211" s="16"/>
      <c r="P211" s="5"/>
      <c r="Q211" s="16"/>
      <c r="R211" s="5"/>
      <c r="S211" s="15"/>
    </row>
    <row r="212" ht="24" customHeight="1" spans="1:19">
      <c r="A212" s="5" t="s">
        <v>31</v>
      </c>
      <c r="B212" s="5" t="str">
        <f xml:space="preserve">IF(C212="","",IFERROR(INDEX(EQUIPES!$B$2:$B$600,MATCH(C212,EQUIPES!$C$2:$C$600,0))&amp;"",""))</f>
        <v/>
      </c>
      <c r="C212" s="4"/>
      <c r="D212" s="4"/>
      <c r="E212" s="4"/>
      <c r="F212" s="4"/>
      <c r="G212" s="5"/>
      <c r="H212" s="5"/>
      <c r="I212" s="5"/>
      <c r="J212" s="4"/>
      <c r="K212" s="5"/>
      <c r="L212" s="4"/>
      <c r="M212" s="16"/>
      <c r="N212" s="16"/>
      <c r="O212" s="16"/>
      <c r="P212" s="5"/>
      <c r="Q212" s="16"/>
      <c r="R212" s="5"/>
      <c r="S212" s="15"/>
    </row>
    <row r="213" ht="24" customHeight="1" spans="1:19">
      <c r="A213" s="5" t="s">
        <v>31</v>
      </c>
      <c r="B213" s="5" t="str">
        <f xml:space="preserve">IF(C213="","",IFERROR(INDEX(EQUIPES!$B$2:$B$600,MATCH(C213,EQUIPES!$C$2:$C$600,0))&amp;"",""))</f>
        <v/>
      </c>
      <c r="C213" s="4"/>
      <c r="D213" s="4"/>
      <c r="E213" s="4"/>
      <c r="F213" s="4"/>
      <c r="G213" s="5"/>
      <c r="H213" s="5"/>
      <c r="I213" s="5"/>
      <c r="J213" s="4"/>
      <c r="K213" s="5"/>
      <c r="L213" s="4"/>
      <c r="M213" s="16"/>
      <c r="N213" s="16"/>
      <c r="O213" s="16"/>
      <c r="P213" s="5"/>
      <c r="Q213" s="16"/>
      <c r="R213" s="5"/>
      <c r="S213" s="15"/>
    </row>
    <row r="214" ht="24" customHeight="1" spans="1:19">
      <c r="A214" s="5" t="s">
        <v>31</v>
      </c>
      <c r="B214" s="5" t="str">
        <f xml:space="preserve">IF(C214="","",IFERROR(INDEX(EQUIPES!$B$2:$B$600,MATCH(C214,EQUIPES!$C$2:$C$600,0))&amp;"",""))</f>
        <v/>
      </c>
      <c r="C214" s="4"/>
      <c r="D214" s="4"/>
      <c r="E214" s="4"/>
      <c r="F214" s="4"/>
      <c r="G214" s="5"/>
      <c r="H214" s="5"/>
      <c r="I214" s="5"/>
      <c r="J214" s="4"/>
      <c r="K214" s="5"/>
      <c r="L214" s="4"/>
      <c r="M214" s="16"/>
      <c r="N214" s="16"/>
      <c r="O214" s="16"/>
      <c r="P214" s="5"/>
      <c r="Q214" s="16"/>
      <c r="R214" s="5"/>
      <c r="S214" s="15"/>
    </row>
    <row r="215" ht="24" customHeight="1" spans="1:19">
      <c r="A215" s="5" t="s">
        <v>31</v>
      </c>
      <c r="B215" s="5" t="str">
        <f xml:space="preserve">IF(C215="","",IFERROR(INDEX(EQUIPES!$B$2:$B$600,MATCH(C215,EQUIPES!$C$2:$C$600,0))&amp;"",""))</f>
        <v/>
      </c>
      <c r="C215" s="4"/>
      <c r="D215" s="4"/>
      <c r="E215" s="4"/>
      <c r="F215" s="4"/>
      <c r="G215" s="5"/>
      <c r="H215" s="5"/>
      <c r="I215" s="5"/>
      <c r="J215" s="4"/>
      <c r="K215" s="5"/>
      <c r="L215" s="4"/>
      <c r="M215" s="16"/>
      <c r="N215" s="16"/>
      <c r="O215" s="16"/>
      <c r="P215" s="5"/>
      <c r="Q215" s="16"/>
      <c r="R215" s="5"/>
      <c r="S215" s="15"/>
    </row>
    <row r="216" ht="24" customHeight="1" spans="1:19">
      <c r="A216" s="5" t="s">
        <v>31</v>
      </c>
      <c r="B216" s="5" t="str">
        <f xml:space="preserve">IF(C216="","",IFERROR(INDEX(EQUIPES!$B$2:$B$600,MATCH(C216,EQUIPES!$C$2:$C$600,0))&amp;"",""))</f>
        <v/>
      </c>
      <c r="C216" s="4"/>
      <c r="D216" s="4"/>
      <c r="E216" s="4"/>
      <c r="F216" s="4"/>
      <c r="G216" s="5"/>
      <c r="H216" s="5"/>
      <c r="I216" s="5"/>
      <c r="J216" s="4"/>
      <c r="K216" s="5"/>
      <c r="L216" s="4"/>
      <c r="M216" s="16"/>
      <c r="N216" s="16"/>
      <c r="O216" s="16"/>
      <c r="P216" s="5"/>
      <c r="Q216" s="16"/>
      <c r="R216" s="5"/>
      <c r="S216" s="15"/>
    </row>
    <row r="217" ht="24" customHeight="1" spans="1:19">
      <c r="A217" s="5" t="s">
        <v>31</v>
      </c>
      <c r="B217" s="5" t="str">
        <f xml:space="preserve">IF(C217="","",IFERROR(INDEX(EQUIPES!$B$2:$B$600,MATCH(C217,EQUIPES!$C$2:$C$600,0))&amp;"",""))</f>
        <v/>
      </c>
      <c r="C217" s="4"/>
      <c r="D217" s="4"/>
      <c r="E217" s="4"/>
      <c r="F217" s="4"/>
      <c r="G217" s="5"/>
      <c r="H217" s="5"/>
      <c r="I217" s="5"/>
      <c r="J217" s="4"/>
      <c r="K217" s="5"/>
      <c r="L217" s="4"/>
      <c r="M217" s="16"/>
      <c r="N217" s="16"/>
      <c r="O217" s="16"/>
      <c r="P217" s="5"/>
      <c r="Q217" s="16"/>
      <c r="R217" s="5"/>
      <c r="S217" s="15"/>
    </row>
    <row r="218" ht="24" customHeight="1" spans="1:19">
      <c r="A218" s="5" t="s">
        <v>31</v>
      </c>
      <c r="B218" s="5" t="str">
        <f xml:space="preserve">IF(C218="","",IFERROR(INDEX(EQUIPES!$B$2:$B$600,MATCH(C218,EQUIPES!$C$2:$C$600,0))&amp;"",""))</f>
        <v/>
      </c>
      <c r="C218" s="4"/>
      <c r="D218" s="4"/>
      <c r="E218" s="4"/>
      <c r="F218" s="4"/>
      <c r="G218" s="5"/>
      <c r="H218" s="5"/>
      <c r="I218" s="5"/>
      <c r="J218" s="4"/>
      <c r="K218" s="5"/>
      <c r="L218" s="4"/>
      <c r="M218" s="16"/>
      <c r="N218" s="16"/>
      <c r="O218" s="16"/>
      <c r="P218" s="5"/>
      <c r="Q218" s="16"/>
      <c r="R218" s="5"/>
      <c r="S218" s="15"/>
    </row>
    <row r="219" ht="24" customHeight="1" spans="1:19">
      <c r="A219" s="5" t="s">
        <v>31</v>
      </c>
      <c r="B219" s="5" t="str">
        <f xml:space="preserve">IF(C219="","",IFERROR(INDEX(EQUIPES!$B$2:$B$600,MATCH(C219,EQUIPES!$C$2:$C$600,0))&amp;"",""))</f>
        <v/>
      </c>
      <c r="C219" s="4"/>
      <c r="D219" s="4"/>
      <c r="E219" s="4"/>
      <c r="F219" s="4"/>
      <c r="G219" s="5"/>
      <c r="H219" s="5"/>
      <c r="I219" s="5"/>
      <c r="J219" s="4"/>
      <c r="K219" s="5"/>
      <c r="L219" s="4"/>
      <c r="M219" s="16"/>
      <c r="N219" s="16"/>
      <c r="O219" s="16"/>
      <c r="P219" s="5"/>
      <c r="Q219" s="16"/>
      <c r="R219" s="5"/>
      <c r="S219" s="15"/>
    </row>
    <row r="220" ht="24" customHeight="1" spans="1:19">
      <c r="A220" s="5" t="s">
        <v>31</v>
      </c>
      <c r="B220" s="5" t="str">
        <f xml:space="preserve">IF(C220="","",IFERROR(INDEX(EQUIPES!$B$2:$B$600,MATCH(C220,EQUIPES!$C$2:$C$600,0))&amp;"",""))</f>
        <v/>
      </c>
      <c r="C220" s="4"/>
      <c r="D220" s="4"/>
      <c r="E220" s="4"/>
      <c r="F220" s="4"/>
      <c r="G220" s="5"/>
      <c r="H220" s="5"/>
      <c r="I220" s="5"/>
      <c r="J220" s="4"/>
      <c r="K220" s="5"/>
      <c r="L220" s="4"/>
      <c r="M220" s="16"/>
      <c r="N220" s="16"/>
      <c r="O220" s="16"/>
      <c r="P220" s="5"/>
      <c r="Q220" s="16"/>
      <c r="R220" s="5"/>
      <c r="S220" s="15"/>
    </row>
    <row r="221" ht="24" customHeight="1" spans="1:19">
      <c r="A221" s="5" t="s">
        <v>31</v>
      </c>
      <c r="B221" s="5" t="str">
        <f xml:space="preserve">IF(C221="","",IFERROR(INDEX(EQUIPES!$B$2:$B$600,MATCH(C221,EQUIPES!$C$2:$C$600,0))&amp;"",""))</f>
        <v/>
      </c>
      <c r="C221" s="4"/>
      <c r="D221" s="4"/>
      <c r="E221" s="4"/>
      <c r="F221" s="4"/>
      <c r="G221" s="5"/>
      <c r="H221" s="5"/>
      <c r="I221" s="5"/>
      <c r="J221" s="4"/>
      <c r="K221" s="5"/>
      <c r="L221" s="4"/>
      <c r="M221" s="16"/>
      <c r="N221" s="16"/>
      <c r="O221" s="16"/>
      <c r="P221" s="5"/>
      <c r="Q221" s="16"/>
      <c r="R221" s="5"/>
      <c r="S221" s="15"/>
    </row>
    <row r="222" ht="24" customHeight="1" spans="1:19">
      <c r="A222" s="5" t="s">
        <v>31</v>
      </c>
      <c r="B222" s="5" t="str">
        <f xml:space="preserve">IF(C222="","",IFERROR(INDEX(EQUIPES!$B$2:$B$600,MATCH(C222,EQUIPES!$C$2:$C$600,0))&amp;"",""))</f>
        <v/>
      </c>
      <c r="C222" s="4"/>
      <c r="D222" s="4"/>
      <c r="E222" s="4"/>
      <c r="F222" s="4"/>
      <c r="G222" s="5"/>
      <c r="H222" s="5"/>
      <c r="I222" s="5"/>
      <c r="J222" s="4"/>
      <c r="K222" s="5"/>
      <c r="L222" s="4"/>
      <c r="M222" s="16"/>
      <c r="N222" s="16"/>
      <c r="O222" s="16"/>
      <c r="P222" s="5"/>
      <c r="Q222" s="16"/>
      <c r="R222" s="5"/>
      <c r="S222" s="15"/>
    </row>
    <row r="223" ht="24" customHeight="1" spans="1:19">
      <c r="A223" s="5" t="s">
        <v>31</v>
      </c>
      <c r="B223" s="5" t="str">
        <f xml:space="preserve">IF(C223="","",IFERROR(INDEX(EQUIPES!$B$2:$B$600,MATCH(C223,EQUIPES!$C$2:$C$600,0))&amp;"",""))</f>
        <v/>
      </c>
      <c r="C223" s="4"/>
      <c r="D223" s="4"/>
      <c r="E223" s="4"/>
      <c r="F223" s="4"/>
      <c r="G223" s="5"/>
      <c r="H223" s="5"/>
      <c r="I223" s="5"/>
      <c r="J223" s="4"/>
      <c r="K223" s="5"/>
      <c r="L223" s="4"/>
      <c r="M223" s="16"/>
      <c r="N223" s="16"/>
      <c r="O223" s="16"/>
      <c r="P223" s="5"/>
      <c r="Q223" s="16"/>
      <c r="R223" s="5"/>
      <c r="S223" s="15"/>
    </row>
    <row r="224" ht="24" customHeight="1" spans="1:19">
      <c r="A224" s="5" t="s">
        <v>31</v>
      </c>
      <c r="B224" s="5" t="str">
        <f xml:space="preserve">IF(C224="","",IFERROR(INDEX(EQUIPES!$B$2:$B$600,MATCH(C224,EQUIPES!$C$2:$C$600,0))&amp;"",""))</f>
        <v/>
      </c>
      <c r="C224" s="4"/>
      <c r="D224" s="4"/>
      <c r="E224" s="4"/>
      <c r="F224" s="4"/>
      <c r="G224" s="5"/>
      <c r="H224" s="5"/>
      <c r="I224" s="5"/>
      <c r="J224" s="4"/>
      <c r="K224" s="5"/>
      <c r="L224" s="4"/>
      <c r="M224" s="16"/>
      <c r="N224" s="16"/>
      <c r="O224" s="16"/>
      <c r="P224" s="5"/>
      <c r="Q224" s="16"/>
      <c r="R224" s="5"/>
      <c r="S224" s="15"/>
    </row>
    <row r="225" ht="24" customHeight="1" spans="1:19">
      <c r="A225" s="5" t="s">
        <v>31</v>
      </c>
      <c r="B225" s="5" t="str">
        <f xml:space="preserve">IF(C225="","",IFERROR(INDEX(EQUIPES!$B$2:$B$600,MATCH(C225,EQUIPES!$C$2:$C$600,0))&amp;"",""))</f>
        <v/>
      </c>
      <c r="C225" s="4"/>
      <c r="D225" s="4"/>
      <c r="E225" s="4"/>
      <c r="F225" s="4"/>
      <c r="G225" s="5"/>
      <c r="H225" s="5"/>
      <c r="I225" s="5"/>
      <c r="J225" s="4"/>
      <c r="K225" s="5"/>
      <c r="L225" s="4"/>
      <c r="M225" s="16"/>
      <c r="N225" s="16"/>
      <c r="O225" s="16"/>
      <c r="P225" s="5"/>
      <c r="Q225" s="16"/>
      <c r="R225" s="5"/>
      <c r="S225" s="15"/>
    </row>
    <row r="226" ht="24" customHeight="1" spans="1:19">
      <c r="A226" s="5" t="s">
        <v>31</v>
      </c>
      <c r="B226" s="5" t="str">
        <f xml:space="preserve">IF(C226="","",IFERROR(INDEX(EQUIPES!$B$2:$B$600,MATCH(C226,EQUIPES!$C$2:$C$600,0))&amp;"",""))</f>
        <v/>
      </c>
      <c r="C226" s="4"/>
      <c r="D226" s="4"/>
      <c r="E226" s="4"/>
      <c r="F226" s="4"/>
      <c r="G226" s="5"/>
      <c r="H226" s="5"/>
      <c r="I226" s="5"/>
      <c r="J226" s="4"/>
      <c r="K226" s="5"/>
      <c r="L226" s="4"/>
      <c r="M226" s="16"/>
      <c r="N226" s="16"/>
      <c r="O226" s="16"/>
      <c r="P226" s="5"/>
      <c r="Q226" s="16"/>
      <c r="R226" s="5"/>
      <c r="S226" s="15"/>
    </row>
    <row r="227" ht="24" customHeight="1" spans="1:19">
      <c r="A227" s="5" t="s">
        <v>31</v>
      </c>
      <c r="B227" s="5" t="str">
        <f xml:space="preserve">IF(C227="","",IFERROR(INDEX(EQUIPES!$B$2:$B$600,MATCH(C227,EQUIPES!$C$2:$C$600,0))&amp;"",""))</f>
        <v/>
      </c>
      <c r="C227" s="4"/>
      <c r="D227" s="4"/>
      <c r="E227" s="4"/>
      <c r="F227" s="4"/>
      <c r="G227" s="5"/>
      <c r="H227" s="5"/>
      <c r="I227" s="5"/>
      <c r="J227" s="4"/>
      <c r="K227" s="5"/>
      <c r="L227" s="4"/>
      <c r="M227" s="16"/>
      <c r="N227" s="16"/>
      <c r="O227" s="16"/>
      <c r="P227" s="5"/>
      <c r="Q227" s="16"/>
      <c r="R227" s="5"/>
      <c r="S227" s="15"/>
    </row>
    <row r="228" ht="24" customHeight="1" spans="1:19">
      <c r="A228" s="5" t="s">
        <v>31</v>
      </c>
      <c r="B228" s="5" t="str">
        <f xml:space="preserve">IF(C228="","",IFERROR(INDEX(EQUIPES!$B$2:$B$600,MATCH(C228,EQUIPES!$C$2:$C$600,0))&amp;"",""))</f>
        <v/>
      </c>
      <c r="C228" s="4"/>
      <c r="D228" s="4"/>
      <c r="E228" s="4"/>
      <c r="F228" s="4"/>
      <c r="G228" s="5"/>
      <c r="H228" s="5"/>
      <c r="I228" s="5"/>
      <c r="J228" s="4"/>
      <c r="K228" s="5"/>
      <c r="L228" s="4"/>
      <c r="M228" s="16"/>
      <c r="N228" s="16"/>
      <c r="O228" s="16"/>
      <c r="P228" s="5"/>
      <c r="Q228" s="16"/>
      <c r="R228" s="5"/>
      <c r="S228" s="15"/>
    </row>
    <row r="229" ht="24" customHeight="1" spans="1:19">
      <c r="A229" s="5" t="s">
        <v>31</v>
      </c>
      <c r="B229" s="5" t="str">
        <f xml:space="preserve">IF(C229="","",IFERROR(INDEX(EQUIPES!$B$2:$B$600,MATCH(C229,EQUIPES!$C$2:$C$600,0))&amp;"",""))</f>
        <v/>
      </c>
      <c r="C229" s="4"/>
      <c r="D229" s="4"/>
      <c r="E229" s="4"/>
      <c r="F229" s="4"/>
      <c r="G229" s="5"/>
      <c r="H229" s="5"/>
      <c r="I229" s="5"/>
      <c r="J229" s="4"/>
      <c r="K229" s="5"/>
      <c r="L229" s="4"/>
      <c r="M229" s="16"/>
      <c r="N229" s="16"/>
      <c r="O229" s="16"/>
      <c r="P229" s="5"/>
      <c r="Q229" s="16"/>
      <c r="R229" s="5"/>
      <c r="S229" s="15"/>
    </row>
    <row r="230" ht="24" customHeight="1" spans="1:19">
      <c r="A230" s="5" t="s">
        <v>31</v>
      </c>
      <c r="B230" s="5" t="str">
        <f xml:space="preserve">IF(C230="","",IFERROR(INDEX(EQUIPES!$B$2:$B$600,MATCH(C230,EQUIPES!$C$2:$C$600,0))&amp;"",""))</f>
        <v/>
      </c>
      <c r="C230" s="4"/>
      <c r="D230" s="4"/>
      <c r="E230" s="4"/>
      <c r="F230" s="4"/>
      <c r="G230" s="5"/>
      <c r="H230" s="5"/>
      <c r="I230" s="5"/>
      <c r="J230" s="4"/>
      <c r="K230" s="5"/>
      <c r="L230" s="4"/>
      <c r="M230" s="16"/>
      <c r="N230" s="16"/>
      <c r="O230" s="16"/>
      <c r="P230" s="5"/>
      <c r="Q230" s="16"/>
      <c r="R230" s="5"/>
      <c r="S230" s="15"/>
    </row>
    <row r="231" ht="24" customHeight="1" spans="1:19">
      <c r="A231" s="5" t="s">
        <v>31</v>
      </c>
      <c r="B231" s="5" t="str">
        <f xml:space="preserve">IF(C231="","",IFERROR(INDEX(EQUIPES!$B$2:$B$600,MATCH(C231,EQUIPES!$C$2:$C$600,0))&amp;"",""))</f>
        <v/>
      </c>
      <c r="C231" s="4"/>
      <c r="D231" s="4"/>
      <c r="E231" s="4"/>
      <c r="F231" s="4"/>
      <c r="G231" s="5"/>
      <c r="H231" s="5"/>
      <c r="I231" s="5"/>
      <c r="J231" s="4"/>
      <c r="K231" s="5"/>
      <c r="L231" s="4"/>
      <c r="M231" s="16"/>
      <c r="N231" s="16"/>
      <c r="O231" s="16"/>
      <c r="P231" s="5"/>
      <c r="Q231" s="16"/>
      <c r="R231" s="5"/>
      <c r="S231" s="15"/>
    </row>
    <row r="232" ht="24" customHeight="1" spans="1:19">
      <c r="A232" s="5" t="s">
        <v>31</v>
      </c>
      <c r="B232" s="5" t="str">
        <f xml:space="preserve">IF(C232="","",IFERROR(INDEX(EQUIPES!$B$2:$B$600,MATCH(C232,EQUIPES!$C$2:$C$600,0))&amp;"",""))</f>
        <v/>
      </c>
      <c r="C232" s="4"/>
      <c r="D232" s="4"/>
      <c r="E232" s="4"/>
      <c r="F232" s="4"/>
      <c r="G232" s="5"/>
      <c r="H232" s="5"/>
      <c r="I232" s="5"/>
      <c r="J232" s="4"/>
      <c r="K232" s="5"/>
      <c r="L232" s="4"/>
      <c r="M232" s="16"/>
      <c r="N232" s="16"/>
      <c r="O232" s="16"/>
      <c r="P232" s="5"/>
      <c r="Q232" s="16"/>
      <c r="R232" s="5"/>
      <c r="S232" s="15"/>
    </row>
    <row r="233" ht="24" customHeight="1" spans="1:19">
      <c r="A233" s="5" t="s">
        <v>31</v>
      </c>
      <c r="B233" s="5" t="str">
        <f xml:space="preserve">IF(C233="","",IFERROR(INDEX(EQUIPES!$B$2:$B$600,MATCH(C233,EQUIPES!$C$2:$C$600,0))&amp;"",""))</f>
        <v/>
      </c>
      <c r="C233" s="4"/>
      <c r="D233" s="4"/>
      <c r="E233" s="4"/>
      <c r="F233" s="4"/>
      <c r="G233" s="5"/>
      <c r="H233" s="5"/>
      <c r="I233" s="5"/>
      <c r="J233" s="4"/>
      <c r="K233" s="5"/>
      <c r="L233" s="4"/>
      <c r="M233" s="16"/>
      <c r="N233" s="16"/>
      <c r="O233" s="16"/>
      <c r="P233" s="5"/>
      <c r="Q233" s="16"/>
      <c r="R233" s="5"/>
      <c r="S233" s="15"/>
    </row>
    <row r="234" ht="24" customHeight="1" spans="1:19">
      <c r="A234" s="5" t="s">
        <v>31</v>
      </c>
      <c r="B234" s="5" t="str">
        <f xml:space="preserve">IF(C234="","",IFERROR(INDEX(EQUIPES!$B$2:$B$600,MATCH(C234,EQUIPES!$C$2:$C$600,0))&amp;"",""))</f>
        <v/>
      </c>
      <c r="C234" s="4"/>
      <c r="D234" s="4"/>
      <c r="E234" s="4"/>
      <c r="F234" s="4"/>
      <c r="G234" s="5"/>
      <c r="H234" s="5"/>
      <c r="I234" s="5"/>
      <c r="J234" s="4"/>
      <c r="K234" s="5"/>
      <c r="L234" s="4"/>
      <c r="M234" s="16"/>
      <c r="N234" s="16"/>
      <c r="O234" s="16"/>
      <c r="P234" s="5"/>
      <c r="Q234" s="16"/>
      <c r="R234" s="5"/>
      <c r="S234" s="15"/>
    </row>
    <row r="235" ht="24" customHeight="1" spans="1:19">
      <c r="A235" s="5" t="s">
        <v>31</v>
      </c>
      <c r="B235" s="5" t="str">
        <f xml:space="preserve">IF(C235="","",IFERROR(INDEX(EQUIPES!$B$2:$B$600,MATCH(C235,EQUIPES!$C$2:$C$600,0))&amp;"",""))</f>
        <v/>
      </c>
      <c r="C235" s="4"/>
      <c r="D235" s="4"/>
      <c r="E235" s="4"/>
      <c r="F235" s="4"/>
      <c r="G235" s="5"/>
      <c r="H235" s="5"/>
      <c r="I235" s="5"/>
      <c r="J235" s="4"/>
      <c r="K235" s="5"/>
      <c r="L235" s="4"/>
      <c r="M235" s="16"/>
      <c r="N235" s="16"/>
      <c r="O235" s="16"/>
      <c r="P235" s="5"/>
      <c r="Q235" s="16"/>
      <c r="R235" s="5"/>
      <c r="S235" s="15"/>
    </row>
    <row r="236" ht="24" customHeight="1" spans="1:19">
      <c r="A236" s="5" t="s">
        <v>31</v>
      </c>
      <c r="B236" s="5" t="str">
        <f xml:space="preserve">IF(C236="","",IFERROR(INDEX(EQUIPES!$B$2:$B$600,MATCH(C236,EQUIPES!$C$2:$C$600,0))&amp;"",""))</f>
        <v/>
      </c>
      <c r="C236" s="4"/>
      <c r="D236" s="4"/>
      <c r="E236" s="4"/>
      <c r="F236" s="4"/>
      <c r="G236" s="5"/>
      <c r="H236" s="5"/>
      <c r="I236" s="5"/>
      <c r="J236" s="4"/>
      <c r="K236" s="5"/>
      <c r="L236" s="4"/>
      <c r="M236" s="16"/>
      <c r="N236" s="16"/>
      <c r="O236" s="16"/>
      <c r="P236" s="5"/>
      <c r="Q236" s="16"/>
      <c r="R236" s="5"/>
      <c r="S236" s="15"/>
    </row>
    <row r="237" ht="24" customHeight="1" spans="1:19">
      <c r="A237" s="5" t="s">
        <v>31</v>
      </c>
      <c r="B237" s="5" t="str">
        <f xml:space="preserve">IF(C237="","",IFERROR(INDEX(EQUIPES!$B$2:$B$600,MATCH(C237,EQUIPES!$C$2:$C$600,0))&amp;"",""))</f>
        <v/>
      </c>
      <c r="C237" s="4"/>
      <c r="D237" s="4"/>
      <c r="E237" s="4"/>
      <c r="F237" s="4"/>
      <c r="G237" s="5"/>
      <c r="H237" s="5"/>
      <c r="I237" s="5"/>
      <c r="J237" s="4"/>
      <c r="K237" s="5"/>
      <c r="L237" s="4"/>
      <c r="M237" s="16"/>
      <c r="N237" s="16"/>
      <c r="O237" s="16"/>
      <c r="P237" s="5"/>
      <c r="Q237" s="16"/>
      <c r="R237" s="5"/>
      <c r="S237" s="15"/>
    </row>
    <row r="238" ht="24" customHeight="1" spans="1:19">
      <c r="A238" s="5" t="s">
        <v>31</v>
      </c>
      <c r="B238" s="5" t="str">
        <f xml:space="preserve">IF(C238="","",IFERROR(INDEX(EQUIPES!$B$2:$B$600,MATCH(C238,EQUIPES!$C$2:$C$600,0))&amp;"",""))</f>
        <v/>
      </c>
      <c r="C238" s="4"/>
      <c r="D238" s="4"/>
      <c r="E238" s="4"/>
      <c r="F238" s="4"/>
      <c r="G238" s="5"/>
      <c r="H238" s="5"/>
      <c r="I238" s="5"/>
      <c r="J238" s="4"/>
      <c r="K238" s="5"/>
      <c r="L238" s="4"/>
      <c r="M238" s="16"/>
      <c r="N238" s="16"/>
      <c r="O238" s="16"/>
      <c r="P238" s="5"/>
      <c r="Q238" s="16"/>
      <c r="R238" s="5"/>
      <c r="S238" s="15"/>
    </row>
    <row r="239" ht="24" customHeight="1" spans="1:19">
      <c r="A239" s="5" t="s">
        <v>31</v>
      </c>
      <c r="B239" s="5" t="str">
        <f xml:space="preserve">IF(C239="","",IFERROR(INDEX(EQUIPES!$B$2:$B$600,MATCH(C239,EQUIPES!$C$2:$C$600,0))&amp;"",""))</f>
        <v/>
      </c>
      <c r="C239" s="4"/>
      <c r="D239" s="4"/>
      <c r="E239" s="4"/>
      <c r="F239" s="4"/>
      <c r="G239" s="5"/>
      <c r="H239" s="5"/>
      <c r="I239" s="5"/>
      <c r="J239" s="4"/>
      <c r="K239" s="5"/>
      <c r="L239" s="4"/>
      <c r="M239" s="16"/>
      <c r="N239" s="16"/>
      <c r="O239" s="16"/>
      <c r="P239" s="5"/>
      <c r="Q239" s="16"/>
      <c r="R239" s="5"/>
      <c r="S239" s="15"/>
    </row>
    <row r="240" ht="24" customHeight="1" spans="1:19">
      <c r="A240" s="5" t="s">
        <v>31</v>
      </c>
      <c r="B240" s="5" t="str">
        <f xml:space="preserve">IF(C240="","",IFERROR(INDEX(EQUIPES!$B$2:$B$600,MATCH(C240,EQUIPES!$C$2:$C$600,0))&amp;"",""))</f>
        <v/>
      </c>
      <c r="C240" s="4"/>
      <c r="D240" s="4"/>
      <c r="E240" s="4"/>
      <c r="F240" s="4"/>
      <c r="G240" s="5"/>
      <c r="H240" s="5"/>
      <c r="I240" s="5"/>
      <c r="J240" s="4"/>
      <c r="K240" s="5"/>
      <c r="L240" s="4"/>
      <c r="M240" s="16"/>
      <c r="N240" s="16"/>
      <c r="O240" s="16"/>
      <c r="P240" s="5"/>
      <c r="Q240" s="16"/>
      <c r="R240" s="5"/>
      <c r="S240" s="15"/>
    </row>
    <row r="241" ht="24" customHeight="1" spans="1:19">
      <c r="A241" s="5" t="s">
        <v>31</v>
      </c>
      <c r="B241" s="5" t="str">
        <f xml:space="preserve">IF(C241="","",IFERROR(INDEX(EQUIPES!$B$2:$B$600,MATCH(C241,EQUIPES!$C$2:$C$600,0))&amp;"",""))</f>
        <v/>
      </c>
      <c r="C241" s="4"/>
      <c r="D241" s="4"/>
      <c r="E241" s="4"/>
      <c r="F241" s="4"/>
      <c r="G241" s="5"/>
      <c r="H241" s="5"/>
      <c r="I241" s="5"/>
      <c r="J241" s="4"/>
      <c r="K241" s="5"/>
      <c r="L241" s="4"/>
      <c r="M241" s="16"/>
      <c r="N241" s="16"/>
      <c r="O241" s="16"/>
      <c r="P241" s="5"/>
      <c r="Q241" s="16"/>
      <c r="R241" s="5"/>
      <c r="S241" s="15"/>
    </row>
    <row r="242" ht="24" customHeight="1" spans="1:19">
      <c r="A242" s="5" t="s">
        <v>31</v>
      </c>
      <c r="B242" s="5" t="str">
        <f xml:space="preserve">IF(C242="","",IFERROR(INDEX(EQUIPES!$B$2:$B$600,MATCH(C242,EQUIPES!$C$2:$C$600,0))&amp;"",""))</f>
        <v/>
      </c>
      <c r="C242" s="4"/>
      <c r="D242" s="4"/>
      <c r="E242" s="4"/>
      <c r="F242" s="4"/>
      <c r="G242" s="5"/>
      <c r="H242" s="5"/>
      <c r="I242" s="5"/>
      <c r="J242" s="4"/>
      <c r="K242" s="5"/>
      <c r="L242" s="4"/>
      <c r="M242" s="16"/>
      <c r="N242" s="16"/>
      <c r="O242" s="16"/>
      <c r="P242" s="5"/>
      <c r="Q242" s="16"/>
      <c r="R242" s="5"/>
      <c r="S242" s="15"/>
    </row>
    <row r="243" ht="24" customHeight="1" spans="1:19">
      <c r="A243" s="5" t="s">
        <v>31</v>
      </c>
      <c r="B243" s="5" t="str">
        <f xml:space="preserve">IF(C243="","",IFERROR(INDEX(EQUIPES!$B$2:$B$600,MATCH(C243,EQUIPES!$C$2:$C$600,0))&amp;"",""))</f>
        <v/>
      </c>
      <c r="C243" s="4"/>
      <c r="D243" s="4"/>
      <c r="E243" s="4"/>
      <c r="F243" s="4"/>
      <c r="G243" s="5"/>
      <c r="H243" s="5"/>
      <c r="I243" s="5"/>
      <c r="J243" s="4"/>
      <c r="K243" s="5"/>
      <c r="L243" s="4"/>
      <c r="M243" s="16"/>
      <c r="N243" s="16"/>
      <c r="O243" s="16"/>
      <c r="P243" s="5"/>
      <c r="Q243" s="16"/>
      <c r="R243" s="5"/>
      <c r="S243" s="15"/>
    </row>
    <row r="244" ht="24" customHeight="1" spans="1:19">
      <c r="A244" s="5" t="s">
        <v>31</v>
      </c>
      <c r="B244" s="5" t="str">
        <f xml:space="preserve">IF(C244="","",IFERROR(INDEX(EQUIPES!$B$2:$B$600,MATCH(C244,EQUIPES!$C$2:$C$600,0))&amp;"",""))</f>
        <v/>
      </c>
      <c r="C244" s="4"/>
      <c r="D244" s="4"/>
      <c r="E244" s="4"/>
      <c r="F244" s="4"/>
      <c r="G244" s="5"/>
      <c r="H244" s="5"/>
      <c r="I244" s="5"/>
      <c r="J244" s="4"/>
      <c r="K244" s="5"/>
      <c r="L244" s="4"/>
      <c r="M244" s="16"/>
      <c r="N244" s="16"/>
      <c r="O244" s="16"/>
      <c r="P244" s="5"/>
      <c r="Q244" s="16"/>
      <c r="R244" s="5"/>
      <c r="S244" s="15"/>
    </row>
    <row r="245" ht="24" customHeight="1" spans="1:19">
      <c r="A245" s="5" t="s">
        <v>31</v>
      </c>
      <c r="B245" s="5" t="str">
        <f xml:space="preserve">IF(C245="","",IFERROR(INDEX(EQUIPES!$B$2:$B$600,MATCH(C245,EQUIPES!$C$2:$C$600,0))&amp;"",""))</f>
        <v/>
      </c>
      <c r="C245" s="4"/>
      <c r="D245" s="4"/>
      <c r="E245" s="4"/>
      <c r="F245" s="4"/>
      <c r="G245" s="5"/>
      <c r="H245" s="5"/>
      <c r="I245" s="5"/>
      <c r="J245" s="4"/>
      <c r="K245" s="5"/>
      <c r="L245" s="4"/>
      <c r="M245" s="16"/>
      <c r="N245" s="16"/>
      <c r="O245" s="16"/>
      <c r="P245" s="5"/>
      <c r="Q245" s="16"/>
      <c r="R245" s="5"/>
      <c r="S245" s="15"/>
    </row>
    <row r="246" ht="24" customHeight="1" spans="1:19">
      <c r="A246" s="5" t="s">
        <v>31</v>
      </c>
      <c r="B246" s="5" t="str">
        <f xml:space="preserve">IF(C246="","",IFERROR(INDEX(EQUIPES!$B$2:$B$600,MATCH(C246,EQUIPES!$C$2:$C$600,0))&amp;"",""))</f>
        <v/>
      </c>
      <c r="C246" s="4"/>
      <c r="D246" s="4"/>
      <c r="E246" s="4"/>
      <c r="F246" s="4"/>
      <c r="G246" s="5"/>
      <c r="H246" s="5"/>
      <c r="I246" s="5"/>
      <c r="J246" s="4"/>
      <c r="K246" s="5"/>
      <c r="L246" s="4"/>
      <c r="M246" s="16"/>
      <c r="N246" s="16"/>
      <c r="O246" s="16"/>
      <c r="P246" s="5"/>
      <c r="Q246" s="16"/>
      <c r="R246" s="5"/>
      <c r="S246" s="15"/>
    </row>
    <row r="247" ht="24" customHeight="1" spans="1:19">
      <c r="A247" s="5" t="s">
        <v>31</v>
      </c>
      <c r="B247" s="5" t="str">
        <f xml:space="preserve">IF(C247="","",IFERROR(INDEX(EQUIPES!$B$2:$B$600,MATCH(C247,EQUIPES!$C$2:$C$600,0))&amp;"",""))</f>
        <v/>
      </c>
      <c r="C247" s="4"/>
      <c r="D247" s="4"/>
      <c r="E247" s="4"/>
      <c r="F247" s="4"/>
      <c r="G247" s="5"/>
      <c r="H247" s="5"/>
      <c r="I247" s="5"/>
      <c r="J247" s="4"/>
      <c r="K247" s="5"/>
      <c r="L247" s="4"/>
      <c r="M247" s="16"/>
      <c r="N247" s="16"/>
      <c r="O247" s="16"/>
      <c r="P247" s="5"/>
      <c r="Q247" s="16"/>
      <c r="R247" s="5"/>
      <c r="S247" s="15"/>
    </row>
    <row r="248" ht="24" customHeight="1" spans="1:19">
      <c r="A248" s="5" t="s">
        <v>31</v>
      </c>
      <c r="B248" s="5" t="str">
        <f xml:space="preserve">IF(C248="","",IFERROR(INDEX(EQUIPES!$B$2:$B$600,MATCH(C248,EQUIPES!$C$2:$C$600,0))&amp;"",""))</f>
        <v/>
      </c>
      <c r="C248" s="4"/>
      <c r="D248" s="4"/>
      <c r="E248" s="4"/>
      <c r="F248" s="4"/>
      <c r="G248" s="5"/>
      <c r="H248" s="5"/>
      <c r="I248" s="5"/>
      <c r="J248" s="4"/>
      <c r="K248" s="5"/>
      <c r="L248" s="4"/>
      <c r="M248" s="16"/>
      <c r="N248" s="16"/>
      <c r="O248" s="16"/>
      <c r="P248" s="5"/>
      <c r="Q248" s="16"/>
      <c r="R248" s="5"/>
      <c r="S248" s="15"/>
    </row>
    <row r="249" ht="24" customHeight="1" spans="1:19">
      <c r="A249" s="5" t="s">
        <v>31</v>
      </c>
      <c r="B249" s="5" t="str">
        <f xml:space="preserve">IF(C249="","",IFERROR(INDEX(EQUIPES!$B$2:$B$600,MATCH(C249,EQUIPES!$C$2:$C$600,0))&amp;"",""))</f>
        <v/>
      </c>
      <c r="C249" s="4"/>
      <c r="D249" s="4"/>
      <c r="E249" s="4"/>
      <c r="F249" s="4"/>
      <c r="G249" s="5"/>
      <c r="H249" s="5"/>
      <c r="I249" s="5"/>
      <c r="J249" s="4"/>
      <c r="K249" s="5"/>
      <c r="L249" s="4"/>
      <c r="M249" s="16"/>
      <c r="N249" s="16"/>
      <c r="O249" s="16"/>
      <c r="P249" s="5"/>
      <c r="Q249" s="16"/>
      <c r="R249" s="5"/>
      <c r="S249" s="15"/>
    </row>
    <row r="250" ht="24" customHeight="1" spans="1:19">
      <c r="A250" s="5" t="s">
        <v>31</v>
      </c>
      <c r="B250" s="5" t="str">
        <f xml:space="preserve">IF(C250="","",IFERROR(INDEX(EQUIPES!$B$2:$B$600,MATCH(C250,EQUIPES!$C$2:$C$600,0))&amp;"",""))</f>
        <v/>
      </c>
      <c r="C250" s="4"/>
      <c r="D250" s="4"/>
      <c r="E250" s="4"/>
      <c r="F250" s="4"/>
      <c r="G250" s="5"/>
      <c r="H250" s="5"/>
      <c r="I250" s="5"/>
      <c r="J250" s="4"/>
      <c r="K250" s="5"/>
      <c r="L250" s="4"/>
      <c r="M250" s="16"/>
      <c r="N250" s="16"/>
      <c r="O250" s="16"/>
      <c r="P250" s="5"/>
      <c r="Q250" s="16"/>
      <c r="R250" s="5"/>
      <c r="S250" s="15"/>
    </row>
    <row r="251" ht="24" customHeight="1" spans="1:19">
      <c r="A251" s="5" t="s">
        <v>31</v>
      </c>
      <c r="B251" s="5" t="str">
        <f xml:space="preserve">IF(C251="","",IFERROR(INDEX(EQUIPES!$B$2:$B$600,MATCH(C251,EQUIPES!$C$2:$C$600,0))&amp;"",""))</f>
        <v/>
      </c>
      <c r="C251" s="4"/>
      <c r="D251" s="4"/>
      <c r="E251" s="4"/>
      <c r="F251" s="4"/>
      <c r="G251" s="5"/>
      <c r="H251" s="5"/>
      <c r="I251" s="5"/>
      <c r="J251" s="4"/>
      <c r="K251" s="5"/>
      <c r="L251" s="4"/>
      <c r="M251" s="16"/>
      <c r="N251" s="16"/>
      <c r="O251" s="16"/>
      <c r="P251" s="5"/>
      <c r="Q251" s="16"/>
      <c r="R251" s="5"/>
      <c r="S251" s="15"/>
    </row>
    <row r="252" ht="24" customHeight="1" spans="1:19">
      <c r="A252" s="5" t="s">
        <v>31</v>
      </c>
      <c r="B252" s="5" t="str">
        <f xml:space="preserve">IF(C252="","",IFERROR(INDEX(EQUIPES!$B$2:$B$600,MATCH(C252,EQUIPES!$C$2:$C$600,0))&amp;"",""))</f>
        <v/>
      </c>
      <c r="C252" s="4"/>
      <c r="D252" s="4"/>
      <c r="E252" s="4"/>
      <c r="F252" s="4"/>
      <c r="G252" s="5"/>
      <c r="H252" s="5"/>
      <c r="I252" s="5"/>
      <c r="J252" s="4"/>
      <c r="K252" s="5"/>
      <c r="L252" s="4"/>
      <c r="M252" s="16"/>
      <c r="N252" s="16"/>
      <c r="O252" s="16"/>
      <c r="P252" s="5"/>
      <c r="Q252" s="16"/>
      <c r="R252" s="5"/>
      <c r="S252" s="15"/>
    </row>
    <row r="253" ht="24" customHeight="1" spans="1:19">
      <c r="A253" s="5" t="s">
        <v>31</v>
      </c>
      <c r="B253" s="5" t="str">
        <f xml:space="preserve">IF(C253="","",IFERROR(INDEX(EQUIPES!$B$2:$B$600,MATCH(C253,EQUIPES!$C$2:$C$600,0))&amp;"",""))</f>
        <v/>
      </c>
      <c r="C253" s="4"/>
      <c r="D253" s="4"/>
      <c r="E253" s="4"/>
      <c r="F253" s="4"/>
      <c r="G253" s="5"/>
      <c r="H253" s="5"/>
      <c r="I253" s="5"/>
      <c r="J253" s="4"/>
      <c r="K253" s="5"/>
      <c r="L253" s="4"/>
      <c r="M253" s="16"/>
      <c r="N253" s="16"/>
      <c r="O253" s="16"/>
      <c r="P253" s="5"/>
      <c r="Q253" s="16"/>
      <c r="R253" s="5"/>
      <c r="S253" s="15"/>
    </row>
    <row r="254" ht="24" customHeight="1" spans="1:19">
      <c r="A254" s="5" t="s">
        <v>31</v>
      </c>
      <c r="B254" s="5" t="str">
        <f xml:space="preserve">IF(C254="","",IFERROR(INDEX(EQUIPES!$B$2:$B$600,MATCH(C254,EQUIPES!$C$2:$C$600,0))&amp;"",""))</f>
        <v/>
      </c>
      <c r="C254" s="4"/>
      <c r="D254" s="4"/>
      <c r="E254" s="4"/>
      <c r="F254" s="4"/>
      <c r="G254" s="5"/>
      <c r="H254" s="5"/>
      <c r="I254" s="5"/>
      <c r="J254" s="4"/>
      <c r="K254" s="5"/>
      <c r="L254" s="4"/>
      <c r="M254" s="16"/>
      <c r="N254" s="16"/>
      <c r="O254" s="16"/>
      <c r="P254" s="5"/>
      <c r="Q254" s="16"/>
      <c r="R254" s="5"/>
      <c r="S254" s="15"/>
    </row>
    <row r="255" ht="24" customHeight="1" spans="1:19">
      <c r="A255" s="5" t="s">
        <v>31</v>
      </c>
      <c r="B255" s="5" t="str">
        <f xml:space="preserve">IF(C255="","",IFERROR(INDEX(EQUIPES!$B$2:$B$600,MATCH(C255,EQUIPES!$C$2:$C$600,0))&amp;"",""))</f>
        <v/>
      </c>
      <c r="C255" s="4"/>
      <c r="D255" s="4"/>
      <c r="E255" s="4"/>
      <c r="F255" s="4"/>
      <c r="G255" s="5"/>
      <c r="H255" s="5"/>
      <c r="I255" s="5"/>
      <c r="J255" s="4"/>
      <c r="K255" s="5"/>
      <c r="L255" s="4"/>
      <c r="M255" s="16"/>
      <c r="N255" s="16"/>
      <c r="O255" s="16"/>
      <c r="P255" s="5"/>
      <c r="Q255" s="16"/>
      <c r="R255" s="5"/>
      <c r="S255" s="15"/>
    </row>
    <row r="256" ht="24" customHeight="1" spans="1:19">
      <c r="A256" s="5" t="s">
        <v>31</v>
      </c>
      <c r="B256" s="5" t="str">
        <f xml:space="preserve">IF(C256="","",IFERROR(INDEX(EQUIPES!$B$2:$B$600,MATCH(C256,EQUIPES!$C$2:$C$600,0))&amp;"",""))</f>
        <v/>
      </c>
      <c r="C256" s="4"/>
      <c r="D256" s="4"/>
      <c r="E256" s="4"/>
      <c r="F256" s="4"/>
      <c r="G256" s="5"/>
      <c r="H256" s="5"/>
      <c r="I256" s="5"/>
      <c r="J256" s="4"/>
      <c r="K256" s="5"/>
      <c r="L256" s="4"/>
      <c r="M256" s="16"/>
      <c r="N256" s="16"/>
      <c r="O256" s="16"/>
      <c r="P256" s="5"/>
      <c r="Q256" s="16"/>
      <c r="R256" s="5"/>
      <c r="S256" s="15"/>
    </row>
    <row r="257" ht="24" customHeight="1" spans="1:19">
      <c r="A257" s="5" t="s">
        <v>31</v>
      </c>
      <c r="B257" s="5" t="str">
        <f xml:space="preserve">IF(C257="","",IFERROR(INDEX(EQUIPES!$B$2:$B$600,MATCH(C257,EQUIPES!$C$2:$C$600,0))&amp;"",""))</f>
        <v/>
      </c>
      <c r="C257" s="4"/>
      <c r="D257" s="4"/>
      <c r="E257" s="4"/>
      <c r="F257" s="4"/>
      <c r="G257" s="5"/>
      <c r="H257" s="5"/>
      <c r="I257" s="5"/>
      <c r="J257" s="4"/>
      <c r="K257" s="5"/>
      <c r="L257" s="4"/>
      <c r="M257" s="16"/>
      <c r="N257" s="16"/>
      <c r="O257" s="16"/>
      <c r="P257" s="5"/>
      <c r="Q257" s="16"/>
      <c r="R257" s="5"/>
      <c r="S257" s="15"/>
    </row>
    <row r="258" ht="24" customHeight="1" spans="1:19">
      <c r="A258" s="5" t="s">
        <v>31</v>
      </c>
      <c r="B258" s="5" t="str">
        <f xml:space="preserve">IF(C258="","",IFERROR(INDEX(EQUIPES!$B$2:$B$600,MATCH(C258,EQUIPES!$C$2:$C$600,0))&amp;"",""))</f>
        <v/>
      </c>
      <c r="C258" s="4"/>
      <c r="D258" s="4"/>
      <c r="E258" s="4"/>
      <c r="F258" s="4"/>
      <c r="G258" s="5"/>
      <c r="H258" s="5"/>
      <c r="I258" s="5"/>
      <c r="J258" s="4"/>
      <c r="K258" s="5"/>
      <c r="L258" s="4"/>
      <c r="M258" s="16"/>
      <c r="N258" s="16"/>
      <c r="O258" s="16"/>
      <c r="P258" s="5"/>
      <c r="Q258" s="16"/>
      <c r="R258" s="5"/>
      <c r="S258" s="15"/>
    </row>
    <row r="259" ht="24" customHeight="1" spans="1:19">
      <c r="A259" s="5" t="s">
        <v>31</v>
      </c>
      <c r="B259" s="5" t="str">
        <f xml:space="preserve">IF(C259="","",IFERROR(INDEX(EQUIPES!$B$2:$B$600,MATCH(C259,EQUIPES!$C$2:$C$600,0))&amp;"",""))</f>
        <v/>
      </c>
      <c r="C259" s="4"/>
      <c r="D259" s="4"/>
      <c r="E259" s="4"/>
      <c r="F259" s="4"/>
      <c r="G259" s="5"/>
      <c r="H259" s="5"/>
      <c r="I259" s="5"/>
      <c r="J259" s="4"/>
      <c r="K259" s="5"/>
      <c r="L259" s="4"/>
      <c r="M259" s="16"/>
      <c r="N259" s="16"/>
      <c r="O259" s="16"/>
      <c r="P259" s="5"/>
      <c r="Q259" s="16"/>
      <c r="R259" s="5"/>
      <c r="S259" s="15"/>
    </row>
    <row r="260" ht="24" customHeight="1" spans="1:19">
      <c r="A260" s="5" t="s">
        <v>31</v>
      </c>
      <c r="B260" s="5" t="str">
        <f xml:space="preserve">IF(C260="","",IFERROR(INDEX(EQUIPES!$B$2:$B$600,MATCH(C260,EQUIPES!$C$2:$C$600,0))&amp;"",""))</f>
        <v/>
      </c>
      <c r="C260" s="4"/>
      <c r="D260" s="4"/>
      <c r="E260" s="4"/>
      <c r="F260" s="4"/>
      <c r="G260" s="5"/>
      <c r="H260" s="5"/>
      <c r="I260" s="5"/>
      <c r="J260" s="4"/>
      <c r="K260" s="5"/>
      <c r="L260" s="4"/>
      <c r="M260" s="16"/>
      <c r="N260" s="16"/>
      <c r="O260" s="16"/>
      <c r="P260" s="5"/>
      <c r="Q260" s="16"/>
      <c r="R260" s="5"/>
      <c r="S260" s="15"/>
    </row>
    <row r="261" ht="24" customHeight="1" spans="1:19">
      <c r="A261" s="5" t="s">
        <v>31</v>
      </c>
      <c r="B261" s="5" t="str">
        <f xml:space="preserve">IF(C261="","",IFERROR(INDEX(EQUIPES!$B$2:$B$600,MATCH(C261,EQUIPES!$C$2:$C$600,0))&amp;"",""))</f>
        <v/>
      </c>
      <c r="C261" s="4"/>
      <c r="D261" s="4"/>
      <c r="E261" s="4"/>
      <c r="F261" s="4"/>
      <c r="G261" s="5"/>
      <c r="H261" s="5"/>
      <c r="I261" s="5"/>
      <c r="J261" s="4"/>
      <c r="K261" s="5"/>
      <c r="L261" s="4"/>
      <c r="M261" s="16"/>
      <c r="N261" s="16"/>
      <c r="O261" s="16"/>
      <c r="P261" s="5"/>
      <c r="Q261" s="16"/>
      <c r="R261" s="5"/>
      <c r="S261" s="15"/>
    </row>
    <row r="262" ht="24" customHeight="1" spans="1:19">
      <c r="A262" s="5" t="s">
        <v>31</v>
      </c>
      <c r="B262" s="5" t="str">
        <f xml:space="preserve">IF(C262="","",IFERROR(INDEX(EQUIPES!$B$2:$B$600,MATCH(C262,EQUIPES!$C$2:$C$600,0))&amp;"",""))</f>
        <v/>
      </c>
      <c r="C262" s="4"/>
      <c r="D262" s="4"/>
      <c r="E262" s="4"/>
      <c r="F262" s="4"/>
      <c r="G262" s="5"/>
      <c r="H262" s="5"/>
      <c r="I262" s="5"/>
      <c r="J262" s="4"/>
      <c r="K262" s="5"/>
      <c r="L262" s="4"/>
      <c r="M262" s="16"/>
      <c r="N262" s="16"/>
      <c r="O262" s="16"/>
      <c r="P262" s="5"/>
      <c r="Q262" s="16"/>
      <c r="R262" s="5"/>
      <c r="S262" s="15"/>
    </row>
    <row r="263" ht="24" customHeight="1" spans="1:19">
      <c r="A263" s="5" t="s">
        <v>31</v>
      </c>
      <c r="B263" s="5" t="str">
        <f xml:space="preserve">IF(C263="","",IFERROR(INDEX(EQUIPES!$B$2:$B$600,MATCH(C263,EQUIPES!$C$2:$C$600,0))&amp;"",""))</f>
        <v/>
      </c>
      <c r="C263" s="4"/>
      <c r="D263" s="4"/>
      <c r="E263" s="4"/>
      <c r="F263" s="4"/>
      <c r="G263" s="5"/>
      <c r="H263" s="5"/>
      <c r="I263" s="5"/>
      <c r="J263" s="4"/>
      <c r="K263" s="5"/>
      <c r="L263" s="4"/>
      <c r="M263" s="16"/>
      <c r="N263" s="16"/>
      <c r="O263" s="16"/>
      <c r="P263" s="5"/>
      <c r="Q263" s="16"/>
      <c r="R263" s="5"/>
      <c r="S263" s="15"/>
    </row>
    <row r="264" ht="24" customHeight="1" spans="1:19">
      <c r="A264" s="5" t="s">
        <v>31</v>
      </c>
      <c r="B264" s="5" t="str">
        <f xml:space="preserve">IF(C264="","",IFERROR(INDEX(EQUIPES!$B$2:$B$600,MATCH(C264,EQUIPES!$C$2:$C$600,0))&amp;"",""))</f>
        <v/>
      </c>
      <c r="C264" s="4"/>
      <c r="D264" s="4"/>
      <c r="E264" s="4"/>
      <c r="F264" s="4"/>
      <c r="G264" s="5"/>
      <c r="H264" s="5"/>
      <c r="I264" s="5"/>
      <c r="J264" s="4"/>
      <c r="K264" s="5"/>
      <c r="L264" s="4"/>
      <c r="M264" s="16"/>
      <c r="N264" s="16"/>
      <c r="O264" s="16"/>
      <c r="P264" s="5"/>
      <c r="Q264" s="16"/>
      <c r="R264" s="5"/>
      <c r="S264" s="15"/>
    </row>
    <row r="265" ht="24" customHeight="1" spans="1:19">
      <c r="A265" s="5" t="s">
        <v>31</v>
      </c>
      <c r="B265" s="5" t="str">
        <f xml:space="preserve">IF(C265="","",IFERROR(INDEX(EQUIPES!$B$2:$B$600,MATCH(C265,EQUIPES!$C$2:$C$600,0))&amp;"",""))</f>
        <v/>
      </c>
      <c r="C265" s="4"/>
      <c r="D265" s="4"/>
      <c r="E265" s="4"/>
      <c r="F265" s="4"/>
      <c r="G265" s="5"/>
      <c r="H265" s="5"/>
      <c r="I265" s="5"/>
      <c r="J265" s="4"/>
      <c r="K265" s="5"/>
      <c r="L265" s="4"/>
      <c r="M265" s="16"/>
      <c r="N265" s="16"/>
      <c r="O265" s="16"/>
      <c r="P265" s="5"/>
      <c r="Q265" s="16"/>
      <c r="R265" s="5"/>
      <c r="S265" s="15"/>
    </row>
    <row r="266" ht="24" customHeight="1" spans="1:19">
      <c r="A266" s="5" t="s">
        <v>31</v>
      </c>
      <c r="B266" s="5" t="str">
        <f xml:space="preserve">IF(C266="","",IFERROR(INDEX(EQUIPES!$B$2:$B$600,MATCH(C266,EQUIPES!$C$2:$C$600,0))&amp;"",""))</f>
        <v/>
      </c>
      <c r="C266" s="4"/>
      <c r="D266" s="4"/>
      <c r="E266" s="4"/>
      <c r="F266" s="4"/>
      <c r="G266" s="5"/>
      <c r="H266" s="5"/>
      <c r="I266" s="5"/>
      <c r="J266" s="4"/>
      <c r="K266" s="5"/>
      <c r="L266" s="4"/>
      <c r="M266" s="16"/>
      <c r="N266" s="16"/>
      <c r="O266" s="16"/>
      <c r="P266" s="5"/>
      <c r="Q266" s="16"/>
      <c r="R266" s="5"/>
      <c r="S266" s="15"/>
    </row>
    <row r="267" ht="24" customHeight="1" spans="1:19">
      <c r="A267" s="5" t="s">
        <v>31</v>
      </c>
      <c r="B267" s="5" t="str">
        <f xml:space="preserve">IF(C267="","",IFERROR(INDEX(EQUIPES!$B$2:$B$600,MATCH(C267,EQUIPES!$C$2:$C$600,0))&amp;"",""))</f>
        <v/>
      </c>
      <c r="C267" s="4"/>
      <c r="D267" s="4"/>
      <c r="E267" s="4"/>
      <c r="F267" s="4"/>
      <c r="G267" s="5"/>
      <c r="H267" s="5"/>
      <c r="I267" s="5"/>
      <c r="J267" s="4"/>
      <c r="K267" s="5"/>
      <c r="L267" s="4"/>
      <c r="M267" s="16"/>
      <c r="N267" s="16"/>
      <c r="O267" s="16"/>
      <c r="P267" s="5"/>
      <c r="Q267" s="16"/>
      <c r="R267" s="5"/>
      <c r="S267" s="15"/>
    </row>
    <row r="268" ht="24" customHeight="1" spans="1:19">
      <c r="A268" s="5" t="s">
        <v>31</v>
      </c>
      <c r="B268" s="5" t="str">
        <f xml:space="preserve">IF(C268="","",IFERROR(INDEX(EQUIPES!$B$2:$B$600,MATCH(C268,EQUIPES!$C$2:$C$600,0))&amp;"",""))</f>
        <v/>
      </c>
      <c r="C268" s="4"/>
      <c r="D268" s="4"/>
      <c r="E268" s="4"/>
      <c r="F268" s="4"/>
      <c r="G268" s="5"/>
      <c r="H268" s="5"/>
      <c r="I268" s="5"/>
      <c r="J268" s="4"/>
      <c r="K268" s="5"/>
      <c r="L268" s="4"/>
      <c r="M268" s="16"/>
      <c r="N268" s="16"/>
      <c r="O268" s="16"/>
      <c r="P268" s="5"/>
      <c r="Q268" s="16"/>
      <c r="R268" s="5"/>
      <c r="S268" s="15"/>
    </row>
    <row r="269" ht="24" customHeight="1" spans="1:19">
      <c r="A269" s="5" t="s">
        <v>31</v>
      </c>
      <c r="B269" s="5" t="str">
        <f xml:space="preserve">IF(C269="","",IFERROR(INDEX(EQUIPES!$B$2:$B$600,MATCH(C269,EQUIPES!$C$2:$C$600,0))&amp;"",""))</f>
        <v/>
      </c>
      <c r="C269" s="4"/>
      <c r="D269" s="4"/>
      <c r="E269" s="4"/>
      <c r="F269" s="4"/>
      <c r="G269" s="5"/>
      <c r="H269" s="5"/>
      <c r="I269" s="5"/>
      <c r="J269" s="4"/>
      <c r="K269" s="5"/>
      <c r="L269" s="4"/>
      <c r="M269" s="16"/>
      <c r="N269" s="16"/>
      <c r="O269" s="16"/>
      <c r="P269" s="5"/>
      <c r="Q269" s="16"/>
      <c r="R269" s="5"/>
      <c r="S269" s="15"/>
    </row>
    <row r="270" ht="24" customHeight="1" spans="1:19">
      <c r="A270" s="5" t="s">
        <v>31</v>
      </c>
      <c r="B270" s="5" t="str">
        <f xml:space="preserve">IF(C270="","",IFERROR(INDEX(EQUIPES!$B$2:$B$600,MATCH(C270,EQUIPES!$C$2:$C$600,0))&amp;"",""))</f>
        <v/>
      </c>
      <c r="C270" s="4"/>
      <c r="D270" s="4"/>
      <c r="E270" s="4"/>
      <c r="F270" s="4"/>
      <c r="G270" s="5"/>
      <c r="H270" s="5"/>
      <c r="I270" s="5"/>
      <c r="J270" s="4"/>
      <c r="K270" s="5"/>
      <c r="L270" s="4"/>
      <c r="M270" s="16"/>
      <c r="N270" s="16"/>
      <c r="O270" s="16"/>
      <c r="P270" s="5"/>
      <c r="Q270" s="16"/>
      <c r="R270" s="5"/>
      <c r="S270" s="15"/>
    </row>
    <row r="271" ht="24" customHeight="1" spans="1:19">
      <c r="A271" s="5" t="s">
        <v>31</v>
      </c>
      <c r="B271" s="5" t="str">
        <f xml:space="preserve">IF(C271="","",IFERROR(INDEX(EQUIPES!$B$2:$B$600,MATCH(C271,EQUIPES!$C$2:$C$600,0))&amp;"",""))</f>
        <v/>
      </c>
      <c r="C271" s="4"/>
      <c r="D271" s="4"/>
      <c r="E271" s="4"/>
      <c r="F271" s="4"/>
      <c r="G271" s="5"/>
      <c r="H271" s="5"/>
      <c r="I271" s="5"/>
      <c r="J271" s="4"/>
      <c r="K271" s="5"/>
      <c r="L271" s="4"/>
      <c r="M271" s="16"/>
      <c r="N271" s="16"/>
      <c r="O271" s="16"/>
      <c r="P271" s="5"/>
      <c r="Q271" s="16"/>
      <c r="R271" s="5"/>
      <c r="S271" s="15"/>
    </row>
    <row r="272" ht="24" customHeight="1" spans="1:19">
      <c r="A272" s="5" t="s">
        <v>31</v>
      </c>
      <c r="B272" s="5" t="str">
        <f xml:space="preserve">IF(C272="","",IFERROR(INDEX(EQUIPES!$B$2:$B$600,MATCH(C272,EQUIPES!$C$2:$C$600,0))&amp;"",""))</f>
        <v/>
      </c>
      <c r="C272" s="4"/>
      <c r="D272" s="4"/>
      <c r="E272" s="4"/>
      <c r="F272" s="4"/>
      <c r="G272" s="5"/>
      <c r="H272" s="5"/>
      <c r="I272" s="5"/>
      <c r="J272" s="4"/>
      <c r="K272" s="5"/>
      <c r="L272" s="4"/>
      <c r="M272" s="16"/>
      <c r="N272" s="16"/>
      <c r="O272" s="16"/>
      <c r="P272" s="5"/>
      <c r="Q272" s="16"/>
      <c r="R272" s="5"/>
      <c r="S272" s="15"/>
    </row>
    <row r="273" ht="24" customHeight="1" spans="1:19">
      <c r="A273" s="5" t="s">
        <v>31</v>
      </c>
      <c r="B273" s="5" t="str">
        <f xml:space="preserve">IF(C273="","",IFERROR(INDEX(EQUIPES!$B$2:$B$600,MATCH(C273,EQUIPES!$C$2:$C$600,0))&amp;"",""))</f>
        <v/>
      </c>
      <c r="C273" s="4"/>
      <c r="D273" s="4"/>
      <c r="E273" s="4"/>
      <c r="F273" s="4"/>
      <c r="G273" s="5"/>
      <c r="H273" s="5"/>
      <c r="I273" s="5"/>
      <c r="J273" s="4"/>
      <c r="K273" s="5"/>
      <c r="L273" s="4"/>
      <c r="M273" s="16"/>
      <c r="N273" s="16"/>
      <c r="O273" s="16"/>
      <c r="P273" s="5"/>
      <c r="Q273" s="16"/>
      <c r="R273" s="5"/>
      <c r="S273" s="15"/>
    </row>
    <row r="274" ht="24" customHeight="1" spans="1:19">
      <c r="A274" s="5" t="s">
        <v>31</v>
      </c>
      <c r="B274" s="5" t="str">
        <f xml:space="preserve">IF(C274="","",IFERROR(INDEX(EQUIPES!$B$2:$B$600,MATCH(C274,EQUIPES!$C$2:$C$600,0))&amp;"",""))</f>
        <v/>
      </c>
      <c r="C274" s="4"/>
      <c r="D274" s="4"/>
      <c r="E274" s="4"/>
      <c r="F274" s="4"/>
      <c r="G274" s="5"/>
      <c r="H274" s="5"/>
      <c r="I274" s="5"/>
      <c r="J274" s="4"/>
      <c r="K274" s="5"/>
      <c r="L274" s="4"/>
      <c r="M274" s="16"/>
      <c r="N274" s="16"/>
      <c r="O274" s="16"/>
      <c r="P274" s="5"/>
      <c r="Q274" s="16"/>
      <c r="R274" s="5"/>
      <c r="S274" s="15"/>
    </row>
    <row r="275" ht="24" customHeight="1" spans="1:19">
      <c r="A275" s="5" t="s">
        <v>31</v>
      </c>
      <c r="B275" s="5" t="str">
        <f xml:space="preserve">IF(C275="","",IFERROR(INDEX(EQUIPES!$B$2:$B$600,MATCH(C275,EQUIPES!$C$2:$C$600,0))&amp;"",""))</f>
        <v/>
      </c>
      <c r="C275" s="4"/>
      <c r="D275" s="4"/>
      <c r="E275" s="4"/>
      <c r="F275" s="4"/>
      <c r="G275" s="5"/>
      <c r="H275" s="5"/>
      <c r="I275" s="5"/>
      <c r="J275" s="4"/>
      <c r="K275" s="5"/>
      <c r="L275" s="4"/>
      <c r="M275" s="16"/>
      <c r="N275" s="16"/>
      <c r="O275" s="16"/>
      <c r="P275" s="5"/>
      <c r="Q275" s="16"/>
      <c r="R275" s="5"/>
      <c r="S275" s="15"/>
    </row>
    <row r="276" ht="24" customHeight="1" spans="1:19">
      <c r="A276" s="5" t="s">
        <v>31</v>
      </c>
      <c r="B276" s="5" t="str">
        <f xml:space="preserve">IF(C276="","",IFERROR(INDEX(EQUIPES!$B$2:$B$600,MATCH(C276,EQUIPES!$C$2:$C$600,0))&amp;"",""))</f>
        <v/>
      </c>
      <c r="C276" s="4"/>
      <c r="D276" s="4"/>
      <c r="E276" s="4"/>
      <c r="F276" s="4"/>
      <c r="G276" s="5"/>
      <c r="H276" s="5"/>
      <c r="I276" s="5"/>
      <c r="J276" s="4"/>
      <c r="K276" s="5"/>
      <c r="L276" s="4"/>
      <c r="M276" s="16"/>
      <c r="N276" s="16"/>
      <c r="O276" s="16"/>
      <c r="P276" s="5"/>
      <c r="Q276" s="16"/>
      <c r="R276" s="5"/>
      <c r="S276" s="15"/>
    </row>
    <row r="277" ht="24" customHeight="1" spans="1:19">
      <c r="A277" s="5" t="s">
        <v>31</v>
      </c>
      <c r="B277" s="5" t="str">
        <f xml:space="preserve">IF(C277="","",IFERROR(INDEX(EQUIPES!$B$2:$B$600,MATCH(C277,EQUIPES!$C$2:$C$600,0))&amp;"",""))</f>
        <v/>
      </c>
      <c r="C277" s="4"/>
      <c r="D277" s="4"/>
      <c r="E277" s="4"/>
      <c r="F277" s="4"/>
      <c r="G277" s="5"/>
      <c r="H277" s="5"/>
      <c r="I277" s="5"/>
      <c r="J277" s="4"/>
      <c r="K277" s="5"/>
      <c r="L277" s="4"/>
      <c r="M277" s="16"/>
      <c r="N277" s="16"/>
      <c r="O277" s="16"/>
      <c r="P277" s="5"/>
      <c r="Q277" s="16"/>
      <c r="R277" s="5"/>
      <c r="S277" s="15"/>
    </row>
    <row r="278" ht="24" customHeight="1" spans="1:19">
      <c r="A278" s="5" t="s">
        <v>31</v>
      </c>
      <c r="B278" s="5" t="str">
        <f xml:space="preserve">IF(C278="","",IFERROR(INDEX(EQUIPES!$B$2:$B$600,MATCH(C278,EQUIPES!$C$2:$C$600,0))&amp;"",""))</f>
        <v/>
      </c>
      <c r="C278" s="4"/>
      <c r="D278" s="4"/>
      <c r="E278" s="4"/>
      <c r="F278" s="4"/>
      <c r="G278" s="5"/>
      <c r="H278" s="5"/>
      <c r="I278" s="5"/>
      <c r="J278" s="4"/>
      <c r="K278" s="5"/>
      <c r="L278" s="4"/>
      <c r="M278" s="16"/>
      <c r="N278" s="16"/>
      <c r="O278" s="16"/>
      <c r="P278" s="5"/>
      <c r="Q278" s="16"/>
      <c r="R278" s="5"/>
      <c r="S278" s="15"/>
    </row>
    <row r="279" ht="24" customHeight="1" spans="1:19">
      <c r="A279" s="5" t="s">
        <v>31</v>
      </c>
      <c r="B279" s="5" t="str">
        <f xml:space="preserve">IF(C279="","",IFERROR(INDEX(EQUIPES!$B$2:$B$600,MATCH(C279,EQUIPES!$C$2:$C$600,0))&amp;"",""))</f>
        <v/>
      </c>
      <c r="C279" s="4"/>
      <c r="D279" s="4"/>
      <c r="E279" s="4"/>
      <c r="F279" s="4"/>
      <c r="G279" s="5"/>
      <c r="H279" s="5"/>
      <c r="I279" s="5"/>
      <c r="J279" s="4"/>
      <c r="K279" s="5"/>
      <c r="L279" s="4"/>
      <c r="M279" s="16"/>
      <c r="N279" s="16"/>
      <c r="O279" s="16"/>
      <c r="P279" s="5"/>
      <c r="Q279" s="16"/>
      <c r="R279" s="5"/>
      <c r="S279" s="15"/>
    </row>
    <row r="280" ht="24" customHeight="1" spans="1:19">
      <c r="A280" s="5" t="s">
        <v>31</v>
      </c>
      <c r="B280" s="5" t="str">
        <f xml:space="preserve">IF(C280="","",IFERROR(INDEX(EQUIPES!$B$2:$B$600,MATCH(C280,EQUIPES!$C$2:$C$600,0))&amp;"",""))</f>
        <v/>
      </c>
      <c r="C280" s="4"/>
      <c r="D280" s="4"/>
      <c r="E280" s="4"/>
      <c r="F280" s="4"/>
      <c r="G280" s="5"/>
      <c r="H280" s="5"/>
      <c r="I280" s="5"/>
      <c r="J280" s="4"/>
      <c r="K280" s="5"/>
      <c r="L280" s="4"/>
      <c r="M280" s="16"/>
      <c r="N280" s="16"/>
      <c r="O280" s="16"/>
      <c r="P280" s="5"/>
      <c r="Q280" s="16"/>
      <c r="R280" s="5"/>
      <c r="S280" s="15"/>
    </row>
    <row r="281" ht="24" customHeight="1" spans="1:19">
      <c r="A281" s="5" t="s">
        <v>31</v>
      </c>
      <c r="B281" s="5" t="str">
        <f xml:space="preserve">IF(C281="","",IFERROR(INDEX(EQUIPES!$B$2:$B$600,MATCH(C281,EQUIPES!$C$2:$C$600,0))&amp;"",""))</f>
        <v/>
      </c>
      <c r="C281" s="4"/>
      <c r="D281" s="4"/>
      <c r="E281" s="4"/>
      <c r="F281" s="4"/>
      <c r="G281" s="5"/>
      <c r="H281" s="5"/>
      <c r="I281" s="5"/>
      <c r="J281" s="4"/>
      <c r="K281" s="5"/>
      <c r="L281" s="4"/>
      <c r="M281" s="16"/>
      <c r="N281" s="16"/>
      <c r="O281" s="16"/>
      <c r="P281" s="5"/>
      <c r="Q281" s="16"/>
      <c r="R281" s="5"/>
      <c r="S281" s="15"/>
    </row>
    <row r="282" ht="24" customHeight="1" spans="1:19">
      <c r="A282" s="5" t="s">
        <v>31</v>
      </c>
      <c r="B282" s="5" t="str">
        <f xml:space="preserve">IF(C282="","",IFERROR(INDEX(EQUIPES!$B$2:$B$600,MATCH(C282,EQUIPES!$C$2:$C$600,0))&amp;"",""))</f>
        <v/>
      </c>
      <c r="C282" s="4"/>
      <c r="D282" s="4"/>
      <c r="E282" s="4"/>
      <c r="F282" s="4"/>
      <c r="G282" s="5"/>
      <c r="H282" s="5"/>
      <c r="I282" s="5"/>
      <c r="J282" s="4"/>
      <c r="K282" s="5"/>
      <c r="L282" s="4"/>
      <c r="M282" s="16"/>
      <c r="N282" s="16"/>
      <c r="O282" s="16"/>
      <c r="P282" s="5"/>
      <c r="Q282" s="16"/>
      <c r="R282" s="5"/>
      <c r="S282" s="15"/>
    </row>
    <row r="283" ht="24" customHeight="1" spans="1:19">
      <c r="A283" s="5" t="s">
        <v>31</v>
      </c>
      <c r="B283" s="5" t="str">
        <f xml:space="preserve">IF(C283="","",IFERROR(INDEX(EQUIPES!$B$2:$B$600,MATCH(C283,EQUIPES!$C$2:$C$600,0))&amp;"",""))</f>
        <v/>
      </c>
      <c r="C283" s="4"/>
      <c r="D283" s="4"/>
      <c r="E283" s="4"/>
      <c r="F283" s="4"/>
      <c r="G283" s="5"/>
      <c r="H283" s="5"/>
      <c r="I283" s="5"/>
      <c r="J283" s="4"/>
      <c r="K283" s="5"/>
      <c r="L283" s="4"/>
      <c r="M283" s="16"/>
      <c r="N283" s="16"/>
      <c r="O283" s="16"/>
      <c r="P283" s="5"/>
      <c r="Q283" s="16"/>
      <c r="R283" s="5"/>
      <c r="S283" s="15"/>
    </row>
    <row r="284" ht="24" customHeight="1" spans="1:19">
      <c r="A284" s="5" t="s">
        <v>31</v>
      </c>
      <c r="B284" s="5" t="str">
        <f xml:space="preserve">IF(C284="","",IFERROR(INDEX(EQUIPES!$B$2:$B$600,MATCH(C284,EQUIPES!$C$2:$C$600,0))&amp;"",""))</f>
        <v/>
      </c>
      <c r="C284" s="4"/>
      <c r="D284" s="4"/>
      <c r="E284" s="4"/>
      <c r="F284" s="4"/>
      <c r="G284" s="5"/>
      <c r="H284" s="5"/>
      <c r="I284" s="5"/>
      <c r="J284" s="4"/>
      <c r="K284" s="5"/>
      <c r="L284" s="4"/>
      <c r="M284" s="16"/>
      <c r="N284" s="16"/>
      <c r="O284" s="16"/>
      <c r="P284" s="5"/>
      <c r="Q284" s="16"/>
      <c r="R284" s="5"/>
      <c r="S284" s="15"/>
    </row>
    <row r="285" ht="24" customHeight="1" spans="1:19">
      <c r="A285" s="5" t="s">
        <v>31</v>
      </c>
      <c r="B285" s="5" t="str">
        <f xml:space="preserve">IF(C285="","",IFERROR(INDEX(EQUIPES!$B$2:$B$600,MATCH(C285,EQUIPES!$C$2:$C$600,0))&amp;"",""))</f>
        <v/>
      </c>
      <c r="C285" s="4"/>
      <c r="D285" s="4"/>
      <c r="E285" s="4"/>
      <c r="F285" s="4"/>
      <c r="G285" s="5"/>
      <c r="H285" s="5"/>
      <c r="I285" s="5"/>
      <c r="J285" s="4"/>
      <c r="K285" s="5"/>
      <c r="L285" s="4"/>
      <c r="M285" s="16"/>
      <c r="N285" s="16"/>
      <c r="O285" s="16"/>
      <c r="P285" s="5"/>
      <c r="Q285" s="16"/>
      <c r="R285" s="5"/>
      <c r="S285" s="15"/>
    </row>
    <row r="286" ht="24" customHeight="1" spans="1:19">
      <c r="A286" s="5" t="s">
        <v>31</v>
      </c>
      <c r="B286" s="5" t="str">
        <f xml:space="preserve">IF(C286="","",IFERROR(INDEX(EQUIPES!$B$2:$B$600,MATCH(C286,EQUIPES!$C$2:$C$600,0))&amp;"",""))</f>
        <v/>
      </c>
      <c r="C286" s="4"/>
      <c r="D286" s="4"/>
      <c r="E286" s="4"/>
      <c r="F286" s="4"/>
      <c r="G286" s="5"/>
      <c r="H286" s="5"/>
      <c r="I286" s="5"/>
      <c r="J286" s="4"/>
      <c r="K286" s="5"/>
      <c r="L286" s="4"/>
      <c r="M286" s="16"/>
      <c r="N286" s="16"/>
      <c r="O286" s="16"/>
      <c r="P286" s="5"/>
      <c r="Q286" s="16"/>
      <c r="R286" s="5"/>
      <c r="S286" s="15"/>
    </row>
    <row r="287" ht="24" customHeight="1" spans="1:19">
      <c r="A287" s="5" t="s">
        <v>31</v>
      </c>
      <c r="B287" s="5" t="str">
        <f xml:space="preserve">IF(C287="","",IFERROR(INDEX(EQUIPES!$B$2:$B$600,MATCH(C287,EQUIPES!$C$2:$C$600,0))&amp;"",""))</f>
        <v/>
      </c>
      <c r="C287" s="4"/>
      <c r="D287" s="4"/>
      <c r="E287" s="4"/>
      <c r="F287" s="4"/>
      <c r="G287" s="5"/>
      <c r="H287" s="5"/>
      <c r="I287" s="5"/>
      <c r="J287" s="4"/>
      <c r="K287" s="5"/>
      <c r="L287" s="4"/>
      <c r="M287" s="16"/>
      <c r="N287" s="16"/>
      <c r="O287" s="16"/>
      <c r="P287" s="5"/>
      <c r="Q287" s="16"/>
      <c r="R287" s="5"/>
      <c r="S287" s="15"/>
    </row>
    <row r="288" ht="24" customHeight="1" spans="1:19">
      <c r="A288" s="5" t="s">
        <v>31</v>
      </c>
      <c r="B288" s="5" t="str">
        <f xml:space="preserve">IF(C288="","",IFERROR(INDEX(EQUIPES!$B$2:$B$600,MATCH(C288,EQUIPES!$C$2:$C$600,0))&amp;"",""))</f>
        <v/>
      </c>
      <c r="C288" s="4"/>
      <c r="D288" s="4"/>
      <c r="E288" s="4"/>
      <c r="F288" s="4"/>
      <c r="G288" s="5"/>
      <c r="H288" s="5"/>
      <c r="I288" s="5"/>
      <c r="J288" s="4"/>
      <c r="K288" s="5"/>
      <c r="L288" s="4"/>
      <c r="M288" s="16"/>
      <c r="N288" s="16"/>
      <c r="O288" s="16"/>
      <c r="P288" s="5"/>
      <c r="Q288" s="16"/>
      <c r="R288" s="5"/>
      <c r="S288" s="15"/>
    </row>
    <row r="289" ht="24" customHeight="1" spans="1:19">
      <c r="A289" s="5" t="s">
        <v>31</v>
      </c>
      <c r="B289" s="5" t="str">
        <f xml:space="preserve">IF(C289="","",IFERROR(INDEX(EQUIPES!$B$2:$B$600,MATCH(C289,EQUIPES!$C$2:$C$600,0))&amp;"",""))</f>
        <v/>
      </c>
      <c r="C289" s="4"/>
      <c r="D289" s="4"/>
      <c r="E289" s="4"/>
      <c r="F289" s="4"/>
      <c r="G289" s="5"/>
      <c r="H289" s="5"/>
      <c r="I289" s="5"/>
      <c r="J289" s="4"/>
      <c r="K289" s="5"/>
      <c r="L289" s="4"/>
      <c r="M289" s="16"/>
      <c r="N289" s="16"/>
      <c r="O289" s="16"/>
      <c r="P289" s="5"/>
      <c r="Q289" s="16"/>
      <c r="R289" s="5"/>
      <c r="S289" s="15"/>
    </row>
    <row r="290" ht="24" customHeight="1" spans="1:19">
      <c r="A290" s="5" t="s">
        <v>31</v>
      </c>
      <c r="B290" s="5" t="str">
        <f xml:space="preserve">IF(C290="","",IFERROR(INDEX(EQUIPES!$B$2:$B$600,MATCH(C290,EQUIPES!$C$2:$C$600,0))&amp;"",""))</f>
        <v/>
      </c>
      <c r="C290" s="4"/>
      <c r="D290" s="4"/>
      <c r="E290" s="4"/>
      <c r="F290" s="4"/>
      <c r="G290" s="5"/>
      <c r="H290" s="5"/>
      <c r="I290" s="5"/>
      <c r="J290" s="4"/>
      <c r="K290" s="5"/>
      <c r="L290" s="4"/>
      <c r="M290" s="16"/>
      <c r="N290" s="16"/>
      <c r="O290" s="16"/>
      <c r="P290" s="5"/>
      <c r="Q290" s="16"/>
      <c r="R290" s="5"/>
      <c r="S290" s="15"/>
    </row>
    <row r="291" ht="24" customHeight="1" spans="1:19">
      <c r="A291" s="5" t="s">
        <v>31</v>
      </c>
      <c r="B291" s="5" t="str">
        <f xml:space="preserve">IF(C291="","",IFERROR(INDEX(EQUIPES!$B$2:$B$600,MATCH(C291,EQUIPES!$C$2:$C$600,0))&amp;"",""))</f>
        <v/>
      </c>
      <c r="C291" s="4"/>
      <c r="D291" s="4"/>
      <c r="E291" s="4"/>
      <c r="F291" s="4"/>
      <c r="G291" s="5"/>
      <c r="H291" s="5"/>
      <c r="I291" s="5"/>
      <c r="J291" s="4"/>
      <c r="K291" s="5"/>
      <c r="L291" s="4"/>
      <c r="M291" s="16"/>
      <c r="N291" s="16"/>
      <c r="O291" s="16"/>
      <c r="P291" s="5"/>
      <c r="Q291" s="16"/>
      <c r="R291" s="5"/>
      <c r="S291" s="15"/>
    </row>
    <row r="292" ht="24" customHeight="1" spans="1:19">
      <c r="A292" s="5" t="s">
        <v>31</v>
      </c>
      <c r="B292" s="5" t="str">
        <f xml:space="preserve">IF(C292="","",IFERROR(INDEX(EQUIPES!$B$2:$B$600,MATCH(C292,EQUIPES!$C$2:$C$600,0))&amp;"",""))</f>
        <v/>
      </c>
      <c r="C292" s="4"/>
      <c r="D292" s="4"/>
      <c r="E292" s="4"/>
      <c r="F292" s="4"/>
      <c r="G292" s="5"/>
      <c r="H292" s="5"/>
      <c r="I292" s="5"/>
      <c r="J292" s="4"/>
      <c r="K292" s="5"/>
      <c r="L292" s="4"/>
      <c r="M292" s="16"/>
      <c r="N292" s="16"/>
      <c r="O292" s="16"/>
      <c r="P292" s="5"/>
      <c r="Q292" s="16"/>
      <c r="R292" s="5"/>
      <c r="S292" s="15"/>
    </row>
    <row r="293" ht="24" customHeight="1" spans="1:19">
      <c r="A293" s="5" t="s">
        <v>31</v>
      </c>
      <c r="B293" s="5" t="str">
        <f xml:space="preserve">IF(C293="","",IFERROR(INDEX(EQUIPES!$B$2:$B$600,MATCH(C293,EQUIPES!$C$2:$C$600,0))&amp;"",""))</f>
        <v/>
      </c>
      <c r="C293" s="4"/>
      <c r="D293" s="4"/>
      <c r="E293" s="4"/>
      <c r="F293" s="4"/>
      <c r="G293" s="5"/>
      <c r="H293" s="5"/>
      <c r="I293" s="5"/>
      <c r="J293" s="4"/>
      <c r="K293" s="5"/>
      <c r="L293" s="4"/>
      <c r="M293" s="16"/>
      <c r="N293" s="16"/>
      <c r="O293" s="16"/>
      <c r="P293" s="5"/>
      <c r="Q293" s="16"/>
      <c r="R293" s="5"/>
      <c r="S293" s="15"/>
    </row>
    <row r="294" ht="24" customHeight="1" spans="1:19">
      <c r="A294" s="5" t="s">
        <v>31</v>
      </c>
      <c r="B294" s="5" t="str">
        <f xml:space="preserve">IF(C294="","",IFERROR(INDEX(EQUIPES!$B$2:$B$600,MATCH(C294,EQUIPES!$C$2:$C$600,0))&amp;"",""))</f>
        <v/>
      </c>
      <c r="C294" s="4"/>
      <c r="D294" s="4"/>
      <c r="E294" s="4"/>
      <c r="F294" s="4"/>
      <c r="G294" s="5"/>
      <c r="H294" s="5"/>
      <c r="I294" s="5"/>
      <c r="J294" s="4"/>
      <c r="K294" s="5"/>
      <c r="L294" s="4"/>
      <c r="M294" s="16"/>
      <c r="N294" s="16"/>
      <c r="O294" s="16"/>
      <c r="P294" s="5"/>
      <c r="Q294" s="16"/>
      <c r="R294" s="5"/>
      <c r="S294" s="15"/>
    </row>
    <row r="295" ht="24" customHeight="1" spans="1:19">
      <c r="A295" s="5" t="s">
        <v>31</v>
      </c>
      <c r="B295" s="5" t="str">
        <f xml:space="preserve">IF(C295="","",IFERROR(INDEX(EQUIPES!$B$2:$B$600,MATCH(C295,EQUIPES!$C$2:$C$600,0))&amp;"",""))</f>
        <v/>
      </c>
      <c r="C295" s="4"/>
      <c r="D295" s="4"/>
      <c r="E295" s="4"/>
      <c r="F295" s="4"/>
      <c r="G295" s="5"/>
      <c r="H295" s="5"/>
      <c r="I295" s="5"/>
      <c r="J295" s="4"/>
      <c r="K295" s="5"/>
      <c r="L295" s="4"/>
      <c r="M295" s="16"/>
      <c r="N295" s="16"/>
      <c r="O295" s="16"/>
      <c r="P295" s="5"/>
      <c r="Q295" s="16"/>
      <c r="R295" s="5"/>
      <c r="S295" s="15"/>
    </row>
    <row r="296" ht="24" customHeight="1" spans="1:19">
      <c r="A296" s="5" t="s">
        <v>31</v>
      </c>
      <c r="B296" s="5" t="str">
        <f xml:space="preserve">IF(C296="","",IFERROR(INDEX(EQUIPES!$B$2:$B$600,MATCH(C296,EQUIPES!$C$2:$C$600,0))&amp;"",""))</f>
        <v/>
      </c>
      <c r="C296" s="4"/>
      <c r="D296" s="4"/>
      <c r="E296" s="4"/>
      <c r="F296" s="4"/>
      <c r="G296" s="5"/>
      <c r="H296" s="5"/>
      <c r="I296" s="5"/>
      <c r="J296" s="4"/>
      <c r="K296" s="5"/>
      <c r="L296" s="4"/>
      <c r="M296" s="16"/>
      <c r="N296" s="16"/>
      <c r="O296" s="16"/>
      <c r="P296" s="5"/>
      <c r="Q296" s="16"/>
      <c r="R296" s="5"/>
      <c r="S296" s="15"/>
    </row>
    <row r="297" ht="24" customHeight="1" spans="1:19">
      <c r="A297" s="5" t="s">
        <v>31</v>
      </c>
      <c r="B297" s="5" t="str">
        <f xml:space="preserve">IF(C297="","",IFERROR(INDEX(EQUIPES!$B$2:$B$600,MATCH(C297,EQUIPES!$C$2:$C$600,0))&amp;"",""))</f>
        <v/>
      </c>
      <c r="C297" s="4"/>
      <c r="D297" s="4"/>
      <c r="E297" s="4"/>
      <c r="F297" s="4"/>
      <c r="G297" s="5"/>
      <c r="H297" s="5"/>
      <c r="I297" s="5"/>
      <c r="J297" s="4"/>
      <c r="K297" s="5"/>
      <c r="L297" s="4"/>
      <c r="M297" s="16"/>
      <c r="N297" s="16"/>
      <c r="O297" s="16"/>
      <c r="P297" s="5"/>
      <c r="Q297" s="16"/>
      <c r="R297" s="5"/>
      <c r="S297" s="15"/>
    </row>
    <row r="298" ht="24" customHeight="1" spans="1:19">
      <c r="A298" s="5" t="s">
        <v>31</v>
      </c>
      <c r="B298" s="5" t="str">
        <f xml:space="preserve">IF(C298="","",IFERROR(INDEX(EQUIPES!$B$2:$B$600,MATCH(C298,EQUIPES!$C$2:$C$600,0))&amp;"",""))</f>
        <v/>
      </c>
      <c r="C298" s="4"/>
      <c r="D298" s="4"/>
      <c r="E298" s="4"/>
      <c r="F298" s="4"/>
      <c r="G298" s="5"/>
      <c r="H298" s="5"/>
      <c r="I298" s="5"/>
      <c r="J298" s="4"/>
      <c r="K298" s="5"/>
      <c r="L298" s="4"/>
      <c r="M298" s="16"/>
      <c r="N298" s="16"/>
      <c r="O298" s="16"/>
      <c r="P298" s="5"/>
      <c r="Q298" s="16"/>
      <c r="R298" s="5"/>
      <c r="S298" s="15"/>
    </row>
    <row r="299" ht="24" customHeight="1" spans="1:19">
      <c r="A299" s="5" t="s">
        <v>31</v>
      </c>
      <c r="B299" s="5" t="str">
        <f xml:space="preserve">IF(C299="","",IFERROR(INDEX(EQUIPES!$B$2:$B$600,MATCH(C299,EQUIPES!$C$2:$C$600,0))&amp;"",""))</f>
        <v/>
      </c>
      <c r="C299" s="4"/>
      <c r="D299" s="4"/>
      <c r="E299" s="4"/>
      <c r="F299" s="4"/>
      <c r="G299" s="5"/>
      <c r="H299" s="5"/>
      <c r="I299" s="5"/>
      <c r="J299" s="4"/>
      <c r="K299" s="5"/>
      <c r="L299" s="4"/>
      <c r="M299" s="16"/>
      <c r="N299" s="16"/>
      <c r="O299" s="16"/>
      <c r="P299" s="5"/>
      <c r="Q299" s="16"/>
      <c r="R299" s="5"/>
      <c r="S299" s="15"/>
    </row>
    <row r="300" ht="24" customHeight="1" spans="1:19">
      <c r="A300" s="5" t="s">
        <v>31</v>
      </c>
      <c r="B300" s="5" t="str">
        <f xml:space="preserve">IF(C300="","",IFERROR(INDEX(EQUIPES!$B$2:$B$600,MATCH(C300,EQUIPES!$C$2:$C$600,0))&amp;"",""))</f>
        <v/>
      </c>
      <c r="C300" s="4"/>
      <c r="D300" s="4"/>
      <c r="E300" s="4"/>
      <c r="F300" s="4"/>
      <c r="G300" s="5"/>
      <c r="H300" s="5"/>
      <c r="I300" s="5"/>
      <c r="J300" s="4"/>
      <c r="K300" s="5"/>
      <c r="L300" s="4"/>
      <c r="M300" s="16"/>
      <c r="N300" s="16"/>
      <c r="O300" s="16"/>
      <c r="P300" s="5"/>
      <c r="Q300" s="16"/>
      <c r="R300" s="5"/>
      <c r="S300" s="15"/>
    </row>
    <row r="301" ht="24" customHeight="1" spans="1:19">
      <c r="A301" s="5" t="s">
        <v>31</v>
      </c>
      <c r="B301" s="5" t="str">
        <f xml:space="preserve">IF(C301="","",IFERROR(INDEX(EQUIPES!$B$2:$B$600,MATCH(C301,EQUIPES!$C$2:$C$600,0))&amp;"",""))</f>
        <v/>
      </c>
      <c r="C301" s="4"/>
      <c r="D301" s="4"/>
      <c r="E301" s="4"/>
      <c r="F301" s="4"/>
      <c r="G301" s="5"/>
      <c r="H301" s="5"/>
      <c r="I301" s="5"/>
      <c r="J301" s="4"/>
      <c r="K301" s="5"/>
      <c r="L301" s="4"/>
      <c r="M301" s="16"/>
      <c r="N301" s="16"/>
      <c r="O301" s="16"/>
      <c r="P301" s="5"/>
      <c r="Q301" s="16"/>
      <c r="R301" s="5"/>
      <c r="S301" s="15"/>
    </row>
  </sheetData>
  <autoFilter xmlns:etc="http://www.wps.cn/officeDocument/2017/etCustomData" ref="A1:S301" etc:filterBottomFollowUsedRange="0">
    <extLst/>
  </autoFilter>
  <dataValidations count="4">
    <dataValidation type="list" allowBlank="1" showInputMessage="1" showErrorMessage="1" errorTitle="Equipe" error="Este valor não está na lista. Pode manter se for o que quer escrever." promptTitle="Equipe" prompt="Escolha uma equipe da aba EQUIPES." sqref="C2:C301" errorStyle="warning">
      <formula1>EQUIPES!$C$2:$C$300</formula1>
    </dataValidation>
    <dataValidation type="list" allowBlank="1" showErrorMessage="1" errorTitle="Viatura" error="Este valor não está na lista. Pode manter se for o que quer escrever." promptTitle="Viatura" sqref="J2:J301" errorStyle="warning">
      <formula1>VIATURAS!$A$2:$A$300</formula1>
    </dataValidation>
    <dataValidation type="list" allowBlank="1" showInputMessage="1" showErrorMessage="1" errorTitle="Status" error="Este valor não está na lista. Pode manter se for o que quer escrever." promptTitle="Status" prompt="Escolha o status. Para férias e afastamento, preencha também o início e o fim do status." sqref="L2:L301" errorStyle="warning">
      <formula1>"Vigente,Férias,Afastado,Apto com restrição,Em contratação,Em mobilização,Desmobilizado"</formula1>
    </dataValidation>
    <dataValidation type="date" operator="greaterThan" allowBlank="1" showErrorMessage="1" errorTitle="Data" error="Digite a data como dd/mm/aaaa." sqref="Q2:Q301 M2:O301">
      <formula1>36526</formula1>
    </dataValidation>
  </dataValidations>
  <pageMargins left="0.4" right="0.4" top="1" bottom="1" header="0.5" footer="0.5"/>
  <pageSetup paperSize="9" fitToHeight="0" orientation="landscape"/>
  <headerFooter>
    <oddFooter>&amp;L&amp;8 Grupo Consominas · Equipes de campo&amp;R&amp;8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3329"/>
    <pageSetUpPr fitToPage="1"/>
  </sheetPr>
  <dimension ref="A1:M154"/>
  <sheetViews>
    <sheetView showGridLines="0" zoomScale="95" zoomScaleNormal="95" workbookViewId="0">
      <pane ySplit="4" topLeftCell="A5" activePane="bottomLeft" state="frozen"/>
      <selection/>
      <selection pane="bottomLeft" activeCell="A1" sqref="A1"/>
    </sheetView>
  </sheetViews>
  <sheetFormatPr defaultColWidth="9" defaultRowHeight="15.5"/>
  <cols>
    <col min="1" max="1" width="30" customWidth="1"/>
    <col min="2" max="2" width="2" hidden="1" customWidth="1"/>
    <col min="3" max="4" width="24" customWidth="1"/>
    <col min="5" max="5" width="20" customWidth="1"/>
    <col min="6" max="6" width="2" hidden="1" customWidth="1"/>
    <col min="7" max="7" width="25" customWidth="1"/>
    <col min="8" max="8" width="32" customWidth="1"/>
    <col min="9" max="10" width="2" hidden="1" customWidth="1"/>
    <col min="11" max="11" width="13" customWidth="1"/>
    <col min="12" max="12" width="22" customWidth="1"/>
    <col min="13" max="13" width="26" customWidth="1"/>
  </cols>
  <sheetData>
    <row r="1" ht="56" customHeight="1" spans="1:13">
      <c r="A1" s="9"/>
      <c r="B1" s="9"/>
      <c r="C1" s="10" t="s">
        <v>6</v>
      </c>
      <c r="D1" s="9"/>
      <c r="E1" s="9"/>
      <c r="F1" s="9"/>
      <c r="G1" s="9"/>
      <c r="H1" s="9"/>
      <c r="I1" s="9"/>
      <c r="J1" s="9"/>
      <c r="K1" s="9"/>
      <c r="L1" s="9"/>
      <c r="M1" s="9"/>
    </row>
    <row r="2" ht="42" customHeight="1" spans="1:13">
      <c r="A2" s="11" t="s">
        <v>46</v>
      </c>
    </row>
    <row r="3" ht="6" customHeight="1" spans="1:13">
      <c r="A3" s="12" t="s">
        <v>47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ht="38" customHeight="1" spans="1:13">
      <c r="A4" s="1" t="s">
        <v>19</v>
      </c>
      <c r="B4" s="2" t="s">
        <v>18</v>
      </c>
      <c r="C4" s="2" t="s">
        <v>34</v>
      </c>
      <c r="D4" s="1" t="s">
        <v>32</v>
      </c>
      <c r="E4" s="2" t="s">
        <v>48</v>
      </c>
      <c r="F4" s="2" t="s">
        <v>38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24</v>
      </c>
      <c r="M4" s="3" t="s">
        <v>54</v>
      </c>
    </row>
    <row r="5" ht="24" customHeight="1" spans="1:13">
      <c r="A5" s="4"/>
      <c r="B5" s="13"/>
      <c r="C5" s="13"/>
      <c r="D5" s="4"/>
      <c r="E5" s="13"/>
      <c r="F5" s="13"/>
      <c r="G5" s="4"/>
      <c r="H5" s="4"/>
      <c r="I5" s="13"/>
      <c r="J5" s="14"/>
      <c r="K5" s="7"/>
      <c r="L5" s="15"/>
      <c r="M5" s="6" t="str">
        <f ca="1" xml:space="preserve">IF($G5="","",IF(AND(LEFT($G5,5)="Mover",$H5=""),"Falta a equipe destino",IF(AND(LEFT($G5,5)="Mover",$H5=$A5),"Já está nesta equipe",IF(AND(LEFT($G5,5)="Mover",COUNTIF(EQUIPES!$C$2:$C$300,$H5)=0),"Equipe destino não existe",IF(AND($G5="Mudar status",$I5=""),"Falta o novo status",IF(AND($G5="Mudar status",OR(AND($K5&lt;&gt;"",$J5=""),AND($K5="",$J5&lt;&gt;""))),"Preencha A partir de e Até",IF(AND($G5&lt;&gt;"Mudar status",$K5&lt;&gt;"",$K5&gt;TODAY()),"Data futura: o sistema aplica na hora","Pronto para enviar")))))))</f>
        <v/>
      </c>
    </row>
    <row r="6" ht="24" customHeight="1" spans="1:13">
      <c r="A6" s="4"/>
      <c r="B6" s="13"/>
      <c r="C6" s="13"/>
      <c r="D6" s="4"/>
      <c r="E6" s="13"/>
      <c r="F6" s="13"/>
      <c r="G6" s="4"/>
      <c r="H6" s="4"/>
      <c r="I6" s="13"/>
      <c r="J6" s="14"/>
      <c r="K6" s="7"/>
      <c r="L6" s="15"/>
      <c r="M6" s="6" t="str">
        <f ca="1" xml:space="preserve">IF($G6="","",IF(AND(LEFT($G6,5)="Mover",$H6=""),"Falta a equipe destino",IF(AND(LEFT($G6,5)="Mover",$H6=$A6),"Já está nesta equipe",IF(AND(LEFT($G6,5)="Mover",COUNTIF(EQUIPES!$C$2:$C$300,$H6)=0),"Equipe destino não existe",IF(AND($G6="Mudar status",$I6=""),"Falta o novo status",IF(AND($G6="Mudar status",OR(AND($K6&lt;&gt;"",$J6=""),AND($K6="",$J6&lt;&gt;""))),"Preencha A partir de e Até",IF(AND($G6&lt;&gt;"Mudar status",$K6&lt;&gt;"",$K6&gt;TODAY()),"Data futura: o sistema aplica na hora","Pronto para enviar")))))))</f>
        <v/>
      </c>
    </row>
    <row r="7" ht="24" customHeight="1" spans="1:13">
      <c r="A7" s="4"/>
      <c r="B7" s="13"/>
      <c r="C7" s="13"/>
      <c r="D7" s="4"/>
      <c r="E7" s="13"/>
      <c r="F7" s="13"/>
      <c r="G7" s="4"/>
      <c r="H7" s="4"/>
      <c r="I7" s="13"/>
      <c r="J7" s="14"/>
      <c r="K7" s="7"/>
      <c r="L7" s="15"/>
      <c r="M7" s="6" t="str">
        <f ca="1" xml:space="preserve">IF($G7="","",IF(AND(LEFT($G7,5)="Mover",$H7=""),"Falta a equipe destino",IF(AND(LEFT($G7,5)="Mover",$H7=$A7),"Já está nesta equipe",IF(AND(LEFT($G7,5)="Mover",COUNTIF(EQUIPES!$C$2:$C$300,$H7)=0),"Equipe destino não existe",IF(AND($G7="Mudar status",$I7=""),"Falta o novo status",IF(AND($G7="Mudar status",OR(AND($K7&lt;&gt;"",$J7=""),AND($K7="",$J7&lt;&gt;""))),"Preencha A partir de e Até",IF(AND($G7&lt;&gt;"Mudar status",$K7&lt;&gt;"",$K7&gt;TODAY()),"Data futura: o sistema aplica na hora","Pronto para enviar")))))))</f>
        <v/>
      </c>
    </row>
    <row r="8" ht="24" customHeight="1" spans="1:13">
      <c r="A8" s="4"/>
      <c r="B8" s="13"/>
      <c r="C8" s="13"/>
      <c r="D8" s="4"/>
      <c r="E8" s="13"/>
      <c r="F8" s="13"/>
      <c r="G8" s="4"/>
      <c r="H8" s="4"/>
      <c r="I8" s="13"/>
      <c r="J8" s="14"/>
      <c r="K8" s="7"/>
      <c r="L8" s="15"/>
      <c r="M8" s="6" t="str">
        <f ca="1" xml:space="preserve">IF($G8="","",IF(AND(LEFT($G8,5)="Mover",$H8=""),"Falta a equipe destino",IF(AND(LEFT($G8,5)="Mover",$H8=$A8),"Já está nesta equipe",IF(AND(LEFT($G8,5)="Mover",COUNTIF(EQUIPES!$C$2:$C$300,$H8)=0),"Equipe destino não existe",IF(AND($G8="Mudar status",$I8=""),"Falta o novo status",IF(AND($G8="Mudar status",OR(AND($K8&lt;&gt;"",$J8=""),AND($K8="",$J8&lt;&gt;""))),"Preencha A partir de e Até",IF(AND($G8&lt;&gt;"Mudar status",$K8&lt;&gt;"",$K8&gt;TODAY()),"Data futura: o sistema aplica na hora","Pronto para enviar")))))))</f>
        <v/>
      </c>
    </row>
    <row r="9" ht="24" customHeight="1" spans="1:13">
      <c r="A9" s="4"/>
      <c r="B9" s="13"/>
      <c r="C9" s="13"/>
      <c r="D9" s="4"/>
      <c r="E9" s="13"/>
      <c r="F9" s="13"/>
      <c r="G9" s="4"/>
      <c r="H9" s="4"/>
      <c r="I9" s="13"/>
      <c r="J9" s="14"/>
      <c r="K9" s="7"/>
      <c r="L9" s="15"/>
      <c r="M9" s="6" t="str">
        <f ca="1" xml:space="preserve">IF($G9="","",IF(AND(LEFT($G9,5)="Mover",$H9=""),"Falta a equipe destino",IF(AND(LEFT($G9,5)="Mover",$H9=$A9),"Já está nesta equipe",IF(AND(LEFT($G9,5)="Mover",COUNTIF(EQUIPES!$C$2:$C$300,$H9)=0),"Equipe destino não existe",IF(AND($G9="Mudar status",$I9=""),"Falta o novo status",IF(AND($G9="Mudar status",OR(AND($K9&lt;&gt;"",$J9=""),AND($K9="",$J9&lt;&gt;""))),"Preencha A partir de e Até",IF(AND($G9&lt;&gt;"Mudar status",$K9&lt;&gt;"",$K9&gt;TODAY()),"Data futura: o sistema aplica na hora","Pronto para enviar")))))))</f>
        <v/>
      </c>
    </row>
    <row r="10" ht="24" customHeight="1" spans="1:13">
      <c r="A10" s="4"/>
      <c r="B10" s="13"/>
      <c r="C10" s="13"/>
      <c r="D10" s="4"/>
      <c r="E10" s="13"/>
      <c r="F10" s="13"/>
      <c r="G10" s="4"/>
      <c r="H10" s="4"/>
      <c r="I10" s="13"/>
      <c r="J10" s="14"/>
      <c r="K10" s="7"/>
      <c r="L10" s="15"/>
      <c r="M10" s="6" t="str">
        <f ca="1" xml:space="preserve">IF($G10="","",IF(AND(LEFT($G10,5)="Mover",$H10=""),"Falta a equipe destino",IF(AND(LEFT($G10,5)="Mover",$H10=$A10),"Já está nesta equipe",IF(AND(LEFT($G10,5)="Mover",COUNTIF(EQUIPES!$C$2:$C$300,$H10)=0),"Equipe destino não existe",IF(AND($G10="Mudar status",$I10=""),"Falta o novo status",IF(AND($G10="Mudar status",OR(AND($K10&lt;&gt;"",$J10=""),AND($K10="",$J10&lt;&gt;""))),"Preencha A partir de e Até",IF(AND($G10&lt;&gt;"Mudar status",$K10&lt;&gt;"",$K10&gt;TODAY()),"Data futura: o sistema aplica na hora","Pronto para enviar")))))))</f>
        <v/>
      </c>
    </row>
    <row r="11" ht="24" customHeight="1" spans="1:13">
      <c r="A11" s="4"/>
      <c r="B11" s="13"/>
      <c r="C11" s="13"/>
      <c r="D11" s="4"/>
      <c r="E11" s="13"/>
      <c r="F11" s="13"/>
      <c r="G11" s="4"/>
      <c r="H11" s="4"/>
      <c r="I11" s="13"/>
      <c r="J11" s="14"/>
      <c r="K11" s="7"/>
      <c r="L11" s="15"/>
      <c r="M11" s="6" t="str">
        <f ca="1" xml:space="preserve">IF($G11="","",IF(AND(LEFT($G11,5)="Mover",$H11=""),"Falta a equipe destino",IF(AND(LEFT($G11,5)="Mover",$H11=$A11),"Já está nesta equipe",IF(AND(LEFT($G11,5)="Mover",COUNTIF(EQUIPES!$C$2:$C$300,$H11)=0),"Equipe destino não existe",IF(AND($G11="Mudar status",$I11=""),"Falta o novo status",IF(AND($G11="Mudar status",OR(AND($K11&lt;&gt;"",$J11=""),AND($K11="",$J11&lt;&gt;""))),"Preencha A partir de e Até",IF(AND($G11&lt;&gt;"Mudar status",$K11&lt;&gt;"",$K11&gt;TODAY()),"Data futura: o sistema aplica na hora","Pronto para enviar")))))))</f>
        <v/>
      </c>
    </row>
    <row r="12" ht="24" customHeight="1" spans="1:13">
      <c r="A12" s="4"/>
      <c r="B12" s="13"/>
      <c r="C12" s="13"/>
      <c r="D12" s="4"/>
      <c r="E12" s="13"/>
      <c r="F12" s="13"/>
      <c r="G12" s="4"/>
      <c r="H12" s="4"/>
      <c r="I12" s="13"/>
      <c r="J12" s="14"/>
      <c r="K12" s="7"/>
      <c r="L12" s="15"/>
      <c r="M12" s="6" t="str">
        <f ca="1" xml:space="preserve">IF($G12="","",IF(AND(LEFT($G12,5)="Mover",$H12=""),"Falta a equipe destino",IF(AND(LEFT($G12,5)="Mover",$H12=$A12),"Já está nesta equipe",IF(AND(LEFT($G12,5)="Mover",COUNTIF(EQUIPES!$C$2:$C$300,$H12)=0),"Equipe destino não existe",IF(AND($G12="Mudar status",$I12=""),"Falta o novo status",IF(AND($G12="Mudar status",OR(AND($K12&lt;&gt;"",$J12=""),AND($K12="",$J12&lt;&gt;""))),"Preencha A partir de e Até",IF(AND($G12&lt;&gt;"Mudar status",$K12&lt;&gt;"",$K12&gt;TODAY()),"Data futura: o sistema aplica na hora","Pronto para enviar")))))))</f>
        <v/>
      </c>
    </row>
    <row r="13" ht="24" customHeight="1" spans="1:13">
      <c r="A13" s="4"/>
      <c r="B13" s="13"/>
      <c r="C13" s="13"/>
      <c r="D13" s="4"/>
      <c r="E13" s="13"/>
      <c r="F13" s="13"/>
      <c r="G13" s="4"/>
      <c r="H13" s="4"/>
      <c r="I13" s="13"/>
      <c r="J13" s="14"/>
      <c r="K13" s="7"/>
      <c r="L13" s="15"/>
      <c r="M13" s="6" t="str">
        <f ca="1" xml:space="preserve">IF($G13="","",IF(AND(LEFT($G13,5)="Mover",$H13=""),"Falta a equipe destino",IF(AND(LEFT($G13,5)="Mover",$H13=$A13),"Já está nesta equipe",IF(AND(LEFT($G13,5)="Mover",COUNTIF(EQUIPES!$C$2:$C$300,$H13)=0),"Equipe destino não existe",IF(AND($G13="Mudar status",$I13=""),"Falta o novo status",IF(AND($G13="Mudar status",OR(AND($K13&lt;&gt;"",$J13=""),AND($K13="",$J13&lt;&gt;""))),"Preencha A partir de e Até",IF(AND($G13&lt;&gt;"Mudar status",$K13&lt;&gt;"",$K13&gt;TODAY()),"Data futura: o sistema aplica na hora","Pronto para enviar")))))))</f>
        <v/>
      </c>
    </row>
    <row r="14" ht="24" customHeight="1" spans="1:13">
      <c r="A14" s="4"/>
      <c r="B14" s="13"/>
      <c r="C14" s="13"/>
      <c r="D14" s="4"/>
      <c r="E14" s="13"/>
      <c r="F14" s="13"/>
      <c r="G14" s="4"/>
      <c r="H14" s="4"/>
      <c r="I14" s="13"/>
      <c r="J14" s="14"/>
      <c r="K14" s="7"/>
      <c r="L14" s="15"/>
      <c r="M14" s="6" t="str">
        <f ca="1" xml:space="preserve">IF($G14="","",IF(AND(LEFT($G14,5)="Mover",$H14=""),"Falta a equipe destino",IF(AND(LEFT($G14,5)="Mover",$H14=$A14),"Já está nesta equipe",IF(AND(LEFT($G14,5)="Mover",COUNTIF(EQUIPES!$C$2:$C$300,$H14)=0),"Equipe destino não existe",IF(AND($G14="Mudar status",$I14=""),"Falta o novo status",IF(AND($G14="Mudar status",OR(AND($K14&lt;&gt;"",$J14=""),AND($K14="",$J14&lt;&gt;""))),"Preencha A partir de e Até",IF(AND($G14&lt;&gt;"Mudar status",$K14&lt;&gt;"",$K14&gt;TODAY()),"Data futura: o sistema aplica na hora","Pronto para enviar")))))))</f>
        <v/>
      </c>
    </row>
    <row r="15" ht="24" customHeight="1" spans="1:13">
      <c r="A15" s="4"/>
      <c r="B15" s="13"/>
      <c r="C15" s="13"/>
      <c r="D15" s="4"/>
      <c r="E15" s="13"/>
      <c r="F15" s="13"/>
      <c r="G15" s="4"/>
      <c r="H15" s="4"/>
      <c r="I15" s="13"/>
      <c r="J15" s="14"/>
      <c r="K15" s="7"/>
      <c r="L15" s="15"/>
      <c r="M15" s="6" t="str">
        <f ca="1" xml:space="preserve">IF($G15="","",IF(AND(LEFT($G15,5)="Mover",$H15=""),"Falta a equipe destino",IF(AND(LEFT($G15,5)="Mover",$H15=$A15),"Já está nesta equipe",IF(AND(LEFT($G15,5)="Mover",COUNTIF(EQUIPES!$C$2:$C$300,$H15)=0),"Equipe destino não existe",IF(AND($G15="Mudar status",$I15=""),"Falta o novo status",IF(AND($G15="Mudar status",OR(AND($K15&lt;&gt;"",$J15=""),AND($K15="",$J15&lt;&gt;""))),"Preencha A partir de e Até",IF(AND($G15&lt;&gt;"Mudar status",$K15&lt;&gt;"",$K15&gt;TODAY()),"Data futura: o sistema aplica na hora","Pronto para enviar")))))))</f>
        <v/>
      </c>
    </row>
    <row r="16" ht="24" customHeight="1" spans="1:13">
      <c r="A16" s="4"/>
      <c r="B16" s="13"/>
      <c r="C16" s="13"/>
      <c r="D16" s="4"/>
      <c r="E16" s="13"/>
      <c r="F16" s="13"/>
      <c r="G16" s="4"/>
      <c r="H16" s="4"/>
      <c r="I16" s="13"/>
      <c r="J16" s="14"/>
      <c r="K16" s="7"/>
      <c r="L16" s="15"/>
      <c r="M16" s="6" t="str">
        <f ca="1" xml:space="preserve">IF($G16="","",IF(AND(LEFT($G16,5)="Mover",$H16=""),"Falta a equipe destino",IF(AND(LEFT($G16,5)="Mover",$H16=$A16),"Já está nesta equipe",IF(AND(LEFT($G16,5)="Mover",COUNTIF(EQUIPES!$C$2:$C$300,$H16)=0),"Equipe destino não existe",IF(AND($G16="Mudar status",$I16=""),"Falta o novo status",IF(AND($G16="Mudar status",OR(AND($K16&lt;&gt;"",$J16=""),AND($K16="",$J16&lt;&gt;""))),"Preencha A partir de e Até",IF(AND($G16&lt;&gt;"Mudar status",$K16&lt;&gt;"",$K16&gt;TODAY()),"Data futura: o sistema aplica na hora","Pronto para enviar")))))))</f>
        <v/>
      </c>
    </row>
    <row r="17" ht="24" customHeight="1" spans="1:13">
      <c r="A17" s="4"/>
      <c r="B17" s="13"/>
      <c r="C17" s="13"/>
      <c r="D17" s="4"/>
      <c r="E17" s="13"/>
      <c r="F17" s="13"/>
      <c r="G17" s="4"/>
      <c r="H17" s="4"/>
      <c r="I17" s="13"/>
      <c r="J17" s="14"/>
      <c r="K17" s="7"/>
      <c r="L17" s="15"/>
      <c r="M17" s="6" t="str">
        <f ca="1" xml:space="preserve">IF($G17="","",IF(AND(LEFT($G17,5)="Mover",$H17=""),"Falta a equipe destino",IF(AND(LEFT($G17,5)="Mover",$H17=$A17),"Já está nesta equipe",IF(AND(LEFT($G17,5)="Mover",COUNTIF(EQUIPES!$C$2:$C$300,$H17)=0),"Equipe destino não existe",IF(AND($G17="Mudar status",$I17=""),"Falta o novo status",IF(AND($G17="Mudar status",OR(AND($K17&lt;&gt;"",$J17=""),AND($K17="",$J17&lt;&gt;""))),"Preencha A partir de e Até",IF(AND($G17&lt;&gt;"Mudar status",$K17&lt;&gt;"",$K17&gt;TODAY()),"Data futura: o sistema aplica na hora","Pronto para enviar")))))))</f>
        <v/>
      </c>
    </row>
    <row r="18" ht="24" customHeight="1" spans="1:13">
      <c r="A18" s="4"/>
      <c r="B18" s="13"/>
      <c r="C18" s="13"/>
      <c r="D18" s="4"/>
      <c r="E18" s="13"/>
      <c r="F18" s="13"/>
      <c r="G18" s="4"/>
      <c r="H18" s="4"/>
      <c r="I18" s="13"/>
      <c r="J18" s="14"/>
      <c r="K18" s="7"/>
      <c r="L18" s="15"/>
      <c r="M18" s="6" t="str">
        <f ca="1" xml:space="preserve">IF($G18="","",IF(AND(LEFT($G18,5)="Mover",$H18=""),"Falta a equipe destino",IF(AND(LEFT($G18,5)="Mover",$H18=$A18),"Já está nesta equipe",IF(AND(LEFT($G18,5)="Mover",COUNTIF(EQUIPES!$C$2:$C$300,$H18)=0),"Equipe destino não existe",IF(AND($G18="Mudar status",$I18=""),"Falta o novo status",IF(AND($G18="Mudar status",OR(AND($K18&lt;&gt;"",$J18=""),AND($K18="",$J18&lt;&gt;""))),"Preencha A partir de e Até",IF(AND($G18&lt;&gt;"Mudar status",$K18&lt;&gt;"",$K18&gt;TODAY()),"Data futura: o sistema aplica na hora","Pronto para enviar")))))))</f>
        <v/>
      </c>
    </row>
    <row r="19" ht="24" customHeight="1" spans="1:13">
      <c r="A19" s="4"/>
      <c r="B19" s="13"/>
      <c r="C19" s="13"/>
      <c r="D19" s="4"/>
      <c r="E19" s="13"/>
      <c r="F19" s="13"/>
      <c r="G19" s="4"/>
      <c r="H19" s="4"/>
      <c r="I19" s="13"/>
      <c r="J19" s="14"/>
      <c r="K19" s="7"/>
      <c r="L19" s="15"/>
      <c r="M19" s="6" t="str">
        <f ca="1" xml:space="preserve">IF($G19="","",IF(AND(LEFT($G19,5)="Mover",$H19=""),"Falta a equipe destino",IF(AND(LEFT($G19,5)="Mover",$H19=$A19),"Já está nesta equipe",IF(AND(LEFT($G19,5)="Mover",COUNTIF(EQUIPES!$C$2:$C$300,$H19)=0),"Equipe destino não existe",IF(AND($G19="Mudar status",$I19=""),"Falta o novo status",IF(AND($G19="Mudar status",OR(AND($K19&lt;&gt;"",$J19=""),AND($K19="",$J19&lt;&gt;""))),"Preencha A partir de e Até",IF(AND($G19&lt;&gt;"Mudar status",$K19&lt;&gt;"",$K19&gt;TODAY()),"Data futura: o sistema aplica na hora","Pronto para enviar")))))))</f>
        <v/>
      </c>
    </row>
    <row r="20" ht="24" customHeight="1" spans="1:13">
      <c r="A20" s="4"/>
      <c r="B20" s="13"/>
      <c r="C20" s="13"/>
      <c r="D20" s="4"/>
      <c r="E20" s="13"/>
      <c r="F20" s="13"/>
      <c r="G20" s="4"/>
      <c r="H20" s="4"/>
      <c r="I20" s="13"/>
      <c r="J20" s="14"/>
      <c r="K20" s="7"/>
      <c r="L20" s="15"/>
      <c r="M20" s="6" t="str">
        <f ca="1" xml:space="preserve">IF($G20="","",IF(AND(LEFT($G20,5)="Mover",$H20=""),"Falta a equipe destino",IF(AND(LEFT($G20,5)="Mover",$H20=$A20),"Já está nesta equipe",IF(AND(LEFT($G20,5)="Mover",COUNTIF(EQUIPES!$C$2:$C$300,$H20)=0),"Equipe destino não existe",IF(AND($G20="Mudar status",$I20=""),"Falta o novo status",IF(AND($G20="Mudar status",OR(AND($K20&lt;&gt;"",$J20=""),AND($K20="",$J20&lt;&gt;""))),"Preencha A partir de e Até",IF(AND($G20&lt;&gt;"Mudar status",$K20&lt;&gt;"",$K20&gt;TODAY()),"Data futura: o sistema aplica na hora","Pronto para enviar")))))))</f>
        <v/>
      </c>
    </row>
    <row r="21" ht="24" customHeight="1" spans="1:13">
      <c r="A21" s="4"/>
      <c r="B21" s="13"/>
      <c r="C21" s="13"/>
      <c r="D21" s="4"/>
      <c r="E21" s="13"/>
      <c r="F21" s="13"/>
      <c r="G21" s="4"/>
      <c r="H21" s="4"/>
      <c r="I21" s="13"/>
      <c r="J21" s="14"/>
      <c r="K21" s="7"/>
      <c r="L21" s="15"/>
      <c r="M21" s="6" t="str">
        <f ca="1" xml:space="preserve">IF($G21="","",IF(AND(LEFT($G21,5)="Mover",$H21=""),"Falta a equipe destino",IF(AND(LEFT($G21,5)="Mover",$H21=$A21),"Já está nesta equipe",IF(AND(LEFT($G21,5)="Mover",COUNTIF(EQUIPES!$C$2:$C$300,$H21)=0),"Equipe destino não existe",IF(AND($G21="Mudar status",$I21=""),"Falta o novo status",IF(AND($G21="Mudar status",OR(AND($K21&lt;&gt;"",$J21=""),AND($K21="",$J21&lt;&gt;""))),"Preencha A partir de e Até",IF(AND($G21&lt;&gt;"Mudar status",$K21&lt;&gt;"",$K21&gt;TODAY()),"Data futura: o sistema aplica na hora","Pronto para enviar")))))))</f>
        <v/>
      </c>
    </row>
    <row r="22" ht="24" customHeight="1" spans="1:13">
      <c r="A22" s="4"/>
      <c r="B22" s="13"/>
      <c r="C22" s="13"/>
      <c r="D22" s="4"/>
      <c r="E22" s="13"/>
      <c r="F22" s="13"/>
      <c r="G22" s="4"/>
      <c r="H22" s="4"/>
      <c r="I22" s="13"/>
      <c r="J22" s="14"/>
      <c r="K22" s="7"/>
      <c r="L22" s="15"/>
      <c r="M22" s="6" t="str">
        <f ca="1" xml:space="preserve">IF($G22="","",IF(AND(LEFT($G22,5)="Mover",$H22=""),"Falta a equipe destino",IF(AND(LEFT($G22,5)="Mover",$H22=$A22),"Já está nesta equipe",IF(AND(LEFT($G22,5)="Mover",COUNTIF(EQUIPES!$C$2:$C$300,$H22)=0),"Equipe destino não existe",IF(AND($G22="Mudar status",$I22=""),"Falta o novo status",IF(AND($G22="Mudar status",OR(AND($K22&lt;&gt;"",$J22=""),AND($K22="",$J22&lt;&gt;""))),"Preencha A partir de e Até",IF(AND($G22&lt;&gt;"Mudar status",$K22&lt;&gt;"",$K22&gt;TODAY()),"Data futura: o sistema aplica na hora","Pronto para enviar")))))))</f>
        <v/>
      </c>
    </row>
    <row r="23" ht="24" customHeight="1" spans="1:13">
      <c r="A23" s="4"/>
      <c r="B23" s="13"/>
      <c r="C23" s="13"/>
      <c r="D23" s="4"/>
      <c r="E23" s="13"/>
      <c r="F23" s="13"/>
      <c r="G23" s="4"/>
      <c r="H23" s="4"/>
      <c r="I23" s="13"/>
      <c r="J23" s="14"/>
      <c r="K23" s="7"/>
      <c r="L23" s="15"/>
      <c r="M23" s="6" t="str">
        <f ca="1" xml:space="preserve">IF($G23="","",IF(AND(LEFT($G23,5)="Mover",$H23=""),"Falta a equipe destino",IF(AND(LEFT($G23,5)="Mover",$H23=$A23),"Já está nesta equipe",IF(AND(LEFT($G23,5)="Mover",COUNTIF(EQUIPES!$C$2:$C$300,$H23)=0),"Equipe destino não existe",IF(AND($G23="Mudar status",$I23=""),"Falta o novo status",IF(AND($G23="Mudar status",OR(AND($K23&lt;&gt;"",$J23=""),AND($K23="",$J23&lt;&gt;""))),"Preencha A partir de e Até",IF(AND($G23&lt;&gt;"Mudar status",$K23&lt;&gt;"",$K23&gt;TODAY()),"Data futura: o sistema aplica na hora","Pronto para enviar")))))))</f>
        <v/>
      </c>
    </row>
    <row r="24" ht="24" customHeight="1" spans="1:13">
      <c r="A24" s="4"/>
      <c r="B24" s="13"/>
      <c r="C24" s="13"/>
      <c r="D24" s="4"/>
      <c r="E24" s="13"/>
      <c r="F24" s="13"/>
      <c r="G24" s="4"/>
      <c r="H24" s="4"/>
      <c r="I24" s="13"/>
      <c r="J24" s="14"/>
      <c r="K24" s="7"/>
      <c r="L24" s="15"/>
      <c r="M24" s="6" t="str">
        <f ca="1" xml:space="preserve">IF($G24="","",IF(AND(LEFT($G24,5)="Mover",$H24=""),"Falta a equipe destino",IF(AND(LEFT($G24,5)="Mover",$H24=$A24),"Já está nesta equipe",IF(AND(LEFT($G24,5)="Mover",COUNTIF(EQUIPES!$C$2:$C$300,$H24)=0),"Equipe destino não existe",IF(AND($G24="Mudar status",$I24=""),"Falta o novo status",IF(AND($G24="Mudar status",OR(AND($K24&lt;&gt;"",$J24=""),AND($K24="",$J24&lt;&gt;""))),"Preencha A partir de e Até",IF(AND($G24&lt;&gt;"Mudar status",$K24&lt;&gt;"",$K24&gt;TODAY()),"Data futura: o sistema aplica na hora","Pronto para enviar")))))))</f>
        <v/>
      </c>
    </row>
    <row r="25" ht="24" customHeight="1" spans="1:13">
      <c r="A25" s="4"/>
      <c r="B25" s="13"/>
      <c r="C25" s="13"/>
      <c r="D25" s="4"/>
      <c r="E25" s="13"/>
      <c r="F25" s="13"/>
      <c r="G25" s="4"/>
      <c r="H25" s="4"/>
      <c r="I25" s="13"/>
      <c r="J25" s="14"/>
      <c r="K25" s="7"/>
      <c r="L25" s="15"/>
      <c r="M25" s="6" t="str">
        <f ca="1" xml:space="preserve">IF($G25="","",IF(AND(LEFT($G25,5)="Mover",$H25=""),"Falta a equipe destino",IF(AND(LEFT($G25,5)="Mover",$H25=$A25),"Já está nesta equipe",IF(AND(LEFT($G25,5)="Mover",COUNTIF(EQUIPES!$C$2:$C$300,$H25)=0),"Equipe destino não existe",IF(AND($G25="Mudar status",$I25=""),"Falta o novo status",IF(AND($G25="Mudar status",OR(AND($K25&lt;&gt;"",$J25=""),AND($K25="",$J25&lt;&gt;""))),"Preencha A partir de e Até",IF(AND($G25&lt;&gt;"Mudar status",$K25&lt;&gt;"",$K25&gt;TODAY()),"Data futura: o sistema aplica na hora","Pronto para enviar")))))))</f>
        <v/>
      </c>
    </row>
    <row r="26" ht="24" customHeight="1" spans="1:13">
      <c r="A26" s="4"/>
      <c r="B26" s="13"/>
      <c r="C26" s="13"/>
      <c r="D26" s="4"/>
      <c r="E26" s="13"/>
      <c r="F26" s="13"/>
      <c r="G26" s="4"/>
      <c r="H26" s="4"/>
      <c r="I26" s="13"/>
      <c r="J26" s="14"/>
      <c r="K26" s="7"/>
      <c r="L26" s="15"/>
      <c r="M26" s="6" t="str">
        <f ca="1" xml:space="preserve">IF($G26="","",IF(AND(LEFT($G26,5)="Mover",$H26=""),"Falta a equipe destino",IF(AND(LEFT($G26,5)="Mover",$H26=$A26),"Já está nesta equipe",IF(AND(LEFT($G26,5)="Mover",COUNTIF(EQUIPES!$C$2:$C$300,$H26)=0),"Equipe destino não existe",IF(AND($G26="Mudar status",$I26=""),"Falta o novo status",IF(AND($G26="Mudar status",OR(AND($K26&lt;&gt;"",$J26=""),AND($K26="",$J26&lt;&gt;""))),"Preencha A partir de e Até",IF(AND($G26&lt;&gt;"Mudar status",$K26&lt;&gt;"",$K26&gt;TODAY()),"Data futura: o sistema aplica na hora","Pronto para enviar")))))))</f>
        <v/>
      </c>
    </row>
    <row r="27" ht="24" customHeight="1" spans="1:13">
      <c r="A27" s="4"/>
      <c r="B27" s="13"/>
      <c r="C27" s="13"/>
      <c r="D27" s="4"/>
      <c r="E27" s="13"/>
      <c r="F27" s="13"/>
      <c r="G27" s="4"/>
      <c r="H27" s="4"/>
      <c r="I27" s="13"/>
      <c r="J27" s="14"/>
      <c r="K27" s="7"/>
      <c r="L27" s="15"/>
      <c r="M27" s="6" t="str">
        <f ca="1" xml:space="preserve">IF($G27="","",IF(AND(LEFT($G27,5)="Mover",$H27=""),"Falta a equipe destino",IF(AND(LEFT($G27,5)="Mover",$H27=$A27),"Já está nesta equipe",IF(AND(LEFT($G27,5)="Mover",COUNTIF(EQUIPES!$C$2:$C$300,$H27)=0),"Equipe destino não existe",IF(AND($G27="Mudar status",$I27=""),"Falta o novo status",IF(AND($G27="Mudar status",OR(AND($K27&lt;&gt;"",$J27=""),AND($K27="",$J27&lt;&gt;""))),"Preencha A partir de e Até",IF(AND($G27&lt;&gt;"Mudar status",$K27&lt;&gt;"",$K27&gt;TODAY()),"Data futura: o sistema aplica na hora","Pronto para enviar")))))))</f>
        <v/>
      </c>
    </row>
    <row r="28" ht="24" customHeight="1" spans="1:13">
      <c r="A28" s="4"/>
      <c r="B28" s="13"/>
      <c r="C28" s="13"/>
      <c r="D28" s="4"/>
      <c r="E28" s="13"/>
      <c r="F28" s="13"/>
      <c r="G28" s="4"/>
      <c r="H28" s="4"/>
      <c r="I28" s="13"/>
      <c r="J28" s="14"/>
      <c r="K28" s="7"/>
      <c r="L28" s="15"/>
      <c r="M28" s="6" t="str">
        <f ca="1" xml:space="preserve">IF($G28="","",IF(AND(LEFT($G28,5)="Mover",$H28=""),"Falta a equipe destino",IF(AND(LEFT($G28,5)="Mover",$H28=$A28),"Já está nesta equipe",IF(AND(LEFT($G28,5)="Mover",COUNTIF(EQUIPES!$C$2:$C$300,$H28)=0),"Equipe destino não existe",IF(AND($G28="Mudar status",$I28=""),"Falta o novo status",IF(AND($G28="Mudar status",OR(AND($K28&lt;&gt;"",$J28=""),AND($K28="",$J28&lt;&gt;""))),"Preencha A partir de e Até",IF(AND($G28&lt;&gt;"Mudar status",$K28&lt;&gt;"",$K28&gt;TODAY()),"Data futura: o sistema aplica na hora","Pronto para enviar")))))))</f>
        <v/>
      </c>
    </row>
    <row r="29" ht="24" customHeight="1" spans="1:13">
      <c r="A29" s="4"/>
      <c r="B29" s="13"/>
      <c r="C29" s="13"/>
      <c r="D29" s="4"/>
      <c r="E29" s="13"/>
      <c r="F29" s="13"/>
      <c r="G29" s="4"/>
      <c r="H29" s="4"/>
      <c r="I29" s="13"/>
      <c r="J29" s="14"/>
      <c r="K29" s="7"/>
      <c r="L29" s="15"/>
      <c r="M29" s="6" t="str">
        <f ca="1" xml:space="preserve">IF($G29="","",IF(AND(LEFT($G29,5)="Mover",$H29=""),"Falta a equipe destino",IF(AND(LEFT($G29,5)="Mover",$H29=$A29),"Já está nesta equipe",IF(AND(LEFT($G29,5)="Mover",COUNTIF(EQUIPES!$C$2:$C$300,$H29)=0),"Equipe destino não existe",IF(AND($G29="Mudar status",$I29=""),"Falta o novo status",IF(AND($G29="Mudar status",OR(AND($K29&lt;&gt;"",$J29=""),AND($K29="",$J29&lt;&gt;""))),"Preencha A partir de e Até",IF(AND($G29&lt;&gt;"Mudar status",$K29&lt;&gt;"",$K29&gt;TODAY()),"Data futura: o sistema aplica na hora","Pronto para enviar")))))))</f>
        <v/>
      </c>
    </row>
    <row r="30" ht="24" customHeight="1" spans="1:13">
      <c r="A30" s="4"/>
      <c r="B30" s="13"/>
      <c r="C30" s="13"/>
      <c r="D30" s="4"/>
      <c r="E30" s="13"/>
      <c r="F30" s="13"/>
      <c r="G30" s="4"/>
      <c r="H30" s="4"/>
      <c r="I30" s="13"/>
      <c r="J30" s="14"/>
      <c r="K30" s="7"/>
      <c r="L30" s="15"/>
      <c r="M30" s="6" t="str">
        <f ca="1" xml:space="preserve">IF($G30="","",IF(AND(LEFT($G30,5)="Mover",$H30=""),"Falta a equipe destino",IF(AND(LEFT($G30,5)="Mover",$H30=$A30),"Já está nesta equipe",IF(AND(LEFT($G30,5)="Mover",COUNTIF(EQUIPES!$C$2:$C$300,$H30)=0),"Equipe destino não existe",IF(AND($G30="Mudar status",$I30=""),"Falta o novo status",IF(AND($G30="Mudar status",OR(AND($K30&lt;&gt;"",$J30=""),AND($K30="",$J30&lt;&gt;""))),"Preencha A partir de e Até",IF(AND($G30&lt;&gt;"Mudar status",$K30&lt;&gt;"",$K30&gt;TODAY()),"Data futura: o sistema aplica na hora","Pronto para enviar")))))))</f>
        <v/>
      </c>
    </row>
    <row r="31" ht="24" customHeight="1" spans="1:13">
      <c r="A31" s="4"/>
      <c r="B31" s="13"/>
      <c r="C31" s="13"/>
      <c r="D31" s="4"/>
      <c r="E31" s="13"/>
      <c r="F31" s="13"/>
      <c r="G31" s="4"/>
      <c r="H31" s="4"/>
      <c r="I31" s="13"/>
      <c r="J31" s="14"/>
      <c r="K31" s="7"/>
      <c r="L31" s="15"/>
      <c r="M31" s="6" t="str">
        <f ca="1" xml:space="preserve">IF($G31="","",IF(AND(LEFT($G31,5)="Mover",$H31=""),"Falta a equipe destino",IF(AND(LEFT($G31,5)="Mover",$H31=$A31),"Já está nesta equipe",IF(AND(LEFT($G31,5)="Mover",COUNTIF(EQUIPES!$C$2:$C$300,$H31)=0),"Equipe destino não existe",IF(AND($G31="Mudar status",$I31=""),"Falta o novo status",IF(AND($G31="Mudar status",OR(AND($K31&lt;&gt;"",$J31=""),AND($K31="",$J31&lt;&gt;""))),"Preencha A partir de e Até",IF(AND($G31&lt;&gt;"Mudar status",$K31&lt;&gt;"",$K31&gt;TODAY()),"Data futura: o sistema aplica na hora","Pronto para enviar")))))))</f>
        <v/>
      </c>
    </row>
    <row r="32" ht="24" customHeight="1" spans="1:13">
      <c r="A32" s="4"/>
      <c r="B32" s="13"/>
      <c r="C32" s="13"/>
      <c r="D32" s="4"/>
      <c r="E32" s="13"/>
      <c r="F32" s="13"/>
      <c r="G32" s="4"/>
      <c r="H32" s="4"/>
      <c r="I32" s="13"/>
      <c r="J32" s="14"/>
      <c r="K32" s="7"/>
      <c r="L32" s="15"/>
      <c r="M32" s="6" t="str">
        <f ca="1" xml:space="preserve">IF($G32="","",IF(AND(LEFT($G32,5)="Mover",$H32=""),"Falta a equipe destino",IF(AND(LEFT($G32,5)="Mover",$H32=$A32),"Já está nesta equipe",IF(AND(LEFT($G32,5)="Mover",COUNTIF(EQUIPES!$C$2:$C$300,$H32)=0),"Equipe destino não existe",IF(AND($G32="Mudar status",$I32=""),"Falta o novo status",IF(AND($G32="Mudar status",OR(AND($K32&lt;&gt;"",$J32=""),AND($K32="",$J32&lt;&gt;""))),"Preencha A partir de e Até",IF(AND($G32&lt;&gt;"Mudar status",$K32&lt;&gt;"",$K32&gt;TODAY()),"Data futura: o sistema aplica na hora","Pronto para enviar")))))))</f>
        <v/>
      </c>
    </row>
    <row r="33" ht="24" customHeight="1" spans="1:13">
      <c r="A33" s="4"/>
      <c r="B33" s="13"/>
      <c r="C33" s="13"/>
      <c r="D33" s="4"/>
      <c r="E33" s="13"/>
      <c r="F33" s="13"/>
      <c r="G33" s="4"/>
      <c r="H33" s="4"/>
      <c r="I33" s="13"/>
      <c r="J33" s="14"/>
      <c r="K33" s="7"/>
      <c r="L33" s="15"/>
      <c r="M33" s="6" t="str">
        <f ca="1" xml:space="preserve">IF($G33="","",IF(AND(LEFT($G33,5)="Mover",$H33=""),"Falta a equipe destino",IF(AND(LEFT($G33,5)="Mover",$H33=$A33),"Já está nesta equipe",IF(AND(LEFT($G33,5)="Mover",COUNTIF(EQUIPES!$C$2:$C$300,$H33)=0),"Equipe destino não existe",IF(AND($G33="Mudar status",$I33=""),"Falta o novo status",IF(AND($G33="Mudar status",OR(AND($K33&lt;&gt;"",$J33=""),AND($K33="",$J33&lt;&gt;""))),"Preencha A partir de e Até",IF(AND($G33&lt;&gt;"Mudar status",$K33&lt;&gt;"",$K33&gt;TODAY()),"Data futura: o sistema aplica na hora","Pronto para enviar")))))))</f>
        <v/>
      </c>
    </row>
    <row r="34" ht="24" customHeight="1" spans="1:13">
      <c r="A34" s="4"/>
      <c r="B34" s="13"/>
      <c r="C34" s="13"/>
      <c r="D34" s="4"/>
      <c r="E34" s="13"/>
      <c r="F34" s="13"/>
      <c r="G34" s="4"/>
      <c r="H34" s="4"/>
      <c r="I34" s="13"/>
      <c r="J34" s="14"/>
      <c r="K34" s="7"/>
      <c r="L34" s="15"/>
      <c r="M34" s="6" t="str">
        <f ca="1" xml:space="preserve">IF($G34="","",IF(AND(LEFT($G34,5)="Mover",$H34=""),"Falta a equipe destino",IF(AND(LEFT($G34,5)="Mover",$H34=$A34),"Já está nesta equipe",IF(AND(LEFT($G34,5)="Mover",COUNTIF(EQUIPES!$C$2:$C$300,$H34)=0),"Equipe destino não existe",IF(AND($G34="Mudar status",$I34=""),"Falta o novo status",IF(AND($G34="Mudar status",OR(AND($K34&lt;&gt;"",$J34=""),AND($K34="",$J34&lt;&gt;""))),"Preencha A partir de e Até",IF(AND($G34&lt;&gt;"Mudar status",$K34&lt;&gt;"",$K34&gt;TODAY()),"Data futura: o sistema aplica na hora","Pronto para enviar")))))))</f>
        <v/>
      </c>
    </row>
    <row r="35" ht="24" customHeight="1" spans="1:13">
      <c r="A35" s="4"/>
      <c r="B35" s="13"/>
      <c r="C35" s="13"/>
      <c r="D35" s="4"/>
      <c r="E35" s="13"/>
      <c r="F35" s="13"/>
      <c r="G35" s="4"/>
      <c r="H35" s="4"/>
      <c r="I35" s="13"/>
      <c r="J35" s="14"/>
      <c r="K35" s="7"/>
      <c r="L35" s="15"/>
      <c r="M35" s="6" t="str">
        <f ca="1" xml:space="preserve">IF($G35="","",IF(AND(LEFT($G35,5)="Mover",$H35=""),"Falta a equipe destino",IF(AND(LEFT($G35,5)="Mover",$H35=$A35),"Já está nesta equipe",IF(AND(LEFT($G35,5)="Mover",COUNTIF(EQUIPES!$C$2:$C$300,$H35)=0),"Equipe destino não existe",IF(AND($G35="Mudar status",$I35=""),"Falta o novo status",IF(AND($G35="Mudar status",OR(AND($K35&lt;&gt;"",$J35=""),AND($K35="",$J35&lt;&gt;""))),"Preencha A partir de e Até",IF(AND($G35&lt;&gt;"Mudar status",$K35&lt;&gt;"",$K35&gt;TODAY()),"Data futura: o sistema aplica na hora","Pronto para enviar")))))))</f>
        <v/>
      </c>
    </row>
    <row r="36" ht="24" customHeight="1" spans="1:13">
      <c r="A36" s="4"/>
      <c r="B36" s="13"/>
      <c r="C36" s="13"/>
      <c r="D36" s="4"/>
      <c r="E36" s="13"/>
      <c r="F36" s="13"/>
      <c r="G36" s="4"/>
      <c r="H36" s="4"/>
      <c r="I36" s="13"/>
      <c r="J36" s="14"/>
      <c r="K36" s="7"/>
      <c r="L36" s="15"/>
      <c r="M36" s="6" t="str">
        <f ca="1" xml:space="preserve">IF($G36="","",IF(AND(LEFT($G36,5)="Mover",$H36=""),"Falta a equipe destino",IF(AND(LEFT($G36,5)="Mover",$H36=$A36),"Já está nesta equipe",IF(AND(LEFT($G36,5)="Mover",COUNTIF(EQUIPES!$C$2:$C$300,$H36)=0),"Equipe destino não existe",IF(AND($G36="Mudar status",$I36=""),"Falta o novo status",IF(AND($G36="Mudar status",OR(AND($K36&lt;&gt;"",$J36=""),AND($K36="",$J36&lt;&gt;""))),"Preencha A partir de e Até",IF(AND($G36&lt;&gt;"Mudar status",$K36&lt;&gt;"",$K36&gt;TODAY()),"Data futura: o sistema aplica na hora","Pronto para enviar")))))))</f>
        <v/>
      </c>
    </row>
    <row r="37" ht="24" customHeight="1" spans="1:13">
      <c r="A37" s="4"/>
      <c r="B37" s="13"/>
      <c r="C37" s="13"/>
      <c r="D37" s="4"/>
      <c r="E37" s="13"/>
      <c r="F37" s="13"/>
      <c r="G37" s="4"/>
      <c r="H37" s="4"/>
      <c r="I37" s="13"/>
      <c r="J37" s="14"/>
      <c r="K37" s="7"/>
      <c r="L37" s="15"/>
      <c r="M37" s="6" t="str">
        <f ca="1" xml:space="preserve">IF($G37="","",IF(AND(LEFT($G37,5)="Mover",$H37=""),"Falta a equipe destino",IF(AND(LEFT($G37,5)="Mover",$H37=$A37),"Já está nesta equipe",IF(AND(LEFT($G37,5)="Mover",COUNTIF(EQUIPES!$C$2:$C$300,$H37)=0),"Equipe destino não existe",IF(AND($G37="Mudar status",$I37=""),"Falta o novo status",IF(AND($G37="Mudar status",OR(AND($K37&lt;&gt;"",$J37=""),AND($K37="",$J37&lt;&gt;""))),"Preencha A partir de e Até",IF(AND($G37&lt;&gt;"Mudar status",$K37&lt;&gt;"",$K37&gt;TODAY()),"Data futura: o sistema aplica na hora","Pronto para enviar")))))))</f>
        <v/>
      </c>
    </row>
    <row r="38" ht="24" customHeight="1" spans="1:13">
      <c r="A38" s="4"/>
      <c r="B38" s="13"/>
      <c r="C38" s="13"/>
      <c r="D38" s="4"/>
      <c r="E38" s="13"/>
      <c r="F38" s="13"/>
      <c r="G38" s="4"/>
      <c r="H38" s="4"/>
      <c r="I38" s="13"/>
      <c r="J38" s="14"/>
      <c r="K38" s="7"/>
      <c r="L38" s="15"/>
      <c r="M38" s="6" t="str">
        <f ca="1" xml:space="preserve">IF($G38="","",IF(AND(LEFT($G38,5)="Mover",$H38=""),"Falta a equipe destino",IF(AND(LEFT($G38,5)="Mover",$H38=$A38),"Já está nesta equipe",IF(AND(LEFT($G38,5)="Mover",COUNTIF(EQUIPES!$C$2:$C$300,$H38)=0),"Equipe destino não existe",IF(AND($G38="Mudar status",$I38=""),"Falta o novo status",IF(AND($G38="Mudar status",OR(AND($K38&lt;&gt;"",$J38=""),AND($K38="",$J38&lt;&gt;""))),"Preencha A partir de e Até",IF(AND($G38&lt;&gt;"Mudar status",$K38&lt;&gt;"",$K38&gt;TODAY()),"Data futura: o sistema aplica na hora","Pronto para enviar")))))))</f>
        <v/>
      </c>
    </row>
    <row r="39" ht="24" customHeight="1" spans="1:13">
      <c r="A39" s="4"/>
      <c r="B39" s="13"/>
      <c r="C39" s="13"/>
      <c r="D39" s="4"/>
      <c r="E39" s="13"/>
      <c r="F39" s="13"/>
      <c r="G39" s="4"/>
      <c r="H39" s="4"/>
      <c r="I39" s="13"/>
      <c r="J39" s="14"/>
      <c r="K39" s="7"/>
      <c r="L39" s="15"/>
      <c r="M39" s="6" t="str">
        <f ca="1" xml:space="preserve">IF($G39="","",IF(AND(LEFT($G39,5)="Mover",$H39=""),"Falta a equipe destino",IF(AND(LEFT($G39,5)="Mover",$H39=$A39),"Já está nesta equipe",IF(AND(LEFT($G39,5)="Mover",COUNTIF(EQUIPES!$C$2:$C$300,$H39)=0),"Equipe destino não existe",IF(AND($G39="Mudar status",$I39=""),"Falta o novo status",IF(AND($G39="Mudar status",OR(AND($K39&lt;&gt;"",$J39=""),AND($K39="",$J39&lt;&gt;""))),"Preencha A partir de e Até",IF(AND($G39&lt;&gt;"Mudar status",$K39&lt;&gt;"",$K39&gt;TODAY()),"Data futura: o sistema aplica na hora","Pronto para enviar")))))))</f>
        <v/>
      </c>
    </row>
    <row r="40" ht="24" customHeight="1" spans="1:13">
      <c r="A40" s="4"/>
      <c r="B40" s="13"/>
      <c r="C40" s="13"/>
      <c r="D40" s="4"/>
      <c r="E40" s="13"/>
      <c r="F40" s="13"/>
      <c r="G40" s="4"/>
      <c r="H40" s="4"/>
      <c r="I40" s="13"/>
      <c r="J40" s="14"/>
      <c r="K40" s="7"/>
      <c r="L40" s="15"/>
      <c r="M40" s="6" t="str">
        <f ca="1" xml:space="preserve">IF($G40="","",IF(AND(LEFT($G40,5)="Mover",$H40=""),"Falta a equipe destino",IF(AND(LEFT($G40,5)="Mover",$H40=$A40),"Já está nesta equipe",IF(AND(LEFT($G40,5)="Mover",COUNTIF(EQUIPES!$C$2:$C$300,$H40)=0),"Equipe destino não existe",IF(AND($G40="Mudar status",$I40=""),"Falta o novo status",IF(AND($G40="Mudar status",OR(AND($K40&lt;&gt;"",$J40=""),AND($K40="",$J40&lt;&gt;""))),"Preencha A partir de e Até",IF(AND($G40&lt;&gt;"Mudar status",$K40&lt;&gt;"",$K40&gt;TODAY()),"Data futura: o sistema aplica na hora","Pronto para enviar")))))))</f>
        <v/>
      </c>
    </row>
    <row r="41" ht="24" customHeight="1" spans="1:13">
      <c r="A41" s="4"/>
      <c r="B41" s="13"/>
      <c r="C41" s="13"/>
      <c r="D41" s="4"/>
      <c r="E41" s="13"/>
      <c r="F41" s="13"/>
      <c r="G41" s="4"/>
      <c r="H41" s="4"/>
      <c r="I41" s="13"/>
      <c r="J41" s="14"/>
      <c r="K41" s="7"/>
      <c r="L41" s="15"/>
      <c r="M41" s="6" t="str">
        <f ca="1" xml:space="preserve">IF($G41="","",IF(AND(LEFT($G41,5)="Mover",$H41=""),"Falta a equipe destino",IF(AND(LEFT($G41,5)="Mover",$H41=$A41),"Já está nesta equipe",IF(AND(LEFT($G41,5)="Mover",COUNTIF(EQUIPES!$C$2:$C$300,$H41)=0),"Equipe destino não existe",IF(AND($G41="Mudar status",$I41=""),"Falta o novo status",IF(AND($G41="Mudar status",OR(AND($K41&lt;&gt;"",$J41=""),AND($K41="",$J41&lt;&gt;""))),"Preencha A partir de e Até",IF(AND($G41&lt;&gt;"Mudar status",$K41&lt;&gt;"",$K41&gt;TODAY()),"Data futura: o sistema aplica na hora","Pronto para enviar")))))))</f>
        <v/>
      </c>
    </row>
    <row r="42" ht="24" customHeight="1" spans="1:13">
      <c r="A42" s="4"/>
      <c r="B42" s="13"/>
      <c r="C42" s="13"/>
      <c r="D42" s="4"/>
      <c r="E42" s="13"/>
      <c r="F42" s="13"/>
      <c r="G42" s="4"/>
      <c r="H42" s="4"/>
      <c r="I42" s="13"/>
      <c r="J42" s="14"/>
      <c r="K42" s="7"/>
      <c r="L42" s="15"/>
      <c r="M42" s="6" t="str">
        <f ca="1" xml:space="preserve">IF($G42="","",IF(AND(LEFT($G42,5)="Mover",$H42=""),"Falta a equipe destino",IF(AND(LEFT($G42,5)="Mover",$H42=$A42),"Já está nesta equipe",IF(AND(LEFT($G42,5)="Mover",COUNTIF(EQUIPES!$C$2:$C$300,$H42)=0),"Equipe destino não existe",IF(AND($G42="Mudar status",$I42=""),"Falta o novo status",IF(AND($G42="Mudar status",OR(AND($K42&lt;&gt;"",$J42=""),AND($K42="",$J42&lt;&gt;""))),"Preencha A partir de e Até",IF(AND($G42&lt;&gt;"Mudar status",$K42&lt;&gt;"",$K42&gt;TODAY()),"Data futura: o sistema aplica na hora","Pronto para enviar")))))))</f>
        <v/>
      </c>
    </row>
    <row r="43" ht="24" customHeight="1" spans="1:13">
      <c r="A43" s="4"/>
      <c r="B43" s="13"/>
      <c r="C43" s="13"/>
      <c r="D43" s="4"/>
      <c r="E43" s="13"/>
      <c r="F43" s="13"/>
      <c r="G43" s="4"/>
      <c r="H43" s="4"/>
      <c r="I43" s="13"/>
      <c r="J43" s="14"/>
      <c r="K43" s="7"/>
      <c r="L43" s="15"/>
      <c r="M43" s="6" t="str">
        <f ca="1" xml:space="preserve">IF($G43="","",IF(AND(LEFT($G43,5)="Mover",$H43=""),"Falta a equipe destino",IF(AND(LEFT($G43,5)="Mover",$H43=$A43),"Já está nesta equipe",IF(AND(LEFT($G43,5)="Mover",COUNTIF(EQUIPES!$C$2:$C$300,$H43)=0),"Equipe destino não existe",IF(AND($G43="Mudar status",$I43=""),"Falta o novo status",IF(AND($G43="Mudar status",OR(AND($K43&lt;&gt;"",$J43=""),AND($K43="",$J43&lt;&gt;""))),"Preencha A partir de e Até",IF(AND($G43&lt;&gt;"Mudar status",$K43&lt;&gt;"",$K43&gt;TODAY()),"Data futura: o sistema aplica na hora","Pronto para enviar")))))))</f>
        <v/>
      </c>
    </row>
    <row r="44" ht="24" customHeight="1" spans="1:13">
      <c r="A44" s="4"/>
      <c r="B44" s="13"/>
      <c r="C44" s="13"/>
      <c r="D44" s="4"/>
      <c r="E44" s="13"/>
      <c r="F44" s="13"/>
      <c r="G44" s="4"/>
      <c r="H44" s="4"/>
      <c r="I44" s="13"/>
      <c r="J44" s="14"/>
      <c r="K44" s="7"/>
      <c r="L44" s="15"/>
      <c r="M44" s="6" t="str">
        <f ca="1" xml:space="preserve">IF($G44="","",IF(AND(LEFT($G44,5)="Mover",$H44=""),"Falta a equipe destino",IF(AND(LEFT($G44,5)="Mover",$H44=$A44),"Já está nesta equipe",IF(AND(LEFT($G44,5)="Mover",COUNTIF(EQUIPES!$C$2:$C$300,$H44)=0),"Equipe destino não existe",IF(AND($G44="Mudar status",$I44=""),"Falta o novo status",IF(AND($G44="Mudar status",OR(AND($K44&lt;&gt;"",$J44=""),AND($K44="",$J44&lt;&gt;""))),"Preencha A partir de e Até",IF(AND($G44&lt;&gt;"Mudar status",$K44&lt;&gt;"",$K44&gt;TODAY()),"Data futura: o sistema aplica na hora","Pronto para enviar")))))))</f>
        <v/>
      </c>
    </row>
    <row r="45" ht="24" customHeight="1" spans="1:13">
      <c r="A45" s="4"/>
      <c r="B45" s="13"/>
      <c r="C45" s="13"/>
      <c r="D45" s="4"/>
      <c r="E45" s="13"/>
      <c r="F45" s="13"/>
      <c r="G45" s="4"/>
      <c r="H45" s="4"/>
      <c r="I45" s="13"/>
      <c r="J45" s="14"/>
      <c r="K45" s="7"/>
      <c r="L45" s="15"/>
      <c r="M45" s="6" t="str">
        <f ca="1" xml:space="preserve">IF($G45="","",IF(AND(LEFT($G45,5)="Mover",$H45=""),"Falta a equipe destino",IF(AND(LEFT($G45,5)="Mover",$H45=$A45),"Já está nesta equipe",IF(AND(LEFT($G45,5)="Mover",COUNTIF(EQUIPES!$C$2:$C$300,$H45)=0),"Equipe destino não existe",IF(AND($G45="Mudar status",$I45=""),"Falta o novo status",IF(AND($G45="Mudar status",OR(AND($K45&lt;&gt;"",$J45=""),AND($K45="",$J45&lt;&gt;""))),"Preencha A partir de e Até",IF(AND($G45&lt;&gt;"Mudar status",$K45&lt;&gt;"",$K45&gt;TODAY()),"Data futura: o sistema aplica na hora","Pronto para enviar")))))))</f>
        <v/>
      </c>
    </row>
    <row r="46" ht="24" customHeight="1" spans="1:13">
      <c r="A46" s="4"/>
      <c r="B46" s="13"/>
      <c r="C46" s="13"/>
      <c r="D46" s="4"/>
      <c r="E46" s="13"/>
      <c r="F46" s="13"/>
      <c r="G46" s="4"/>
      <c r="H46" s="4"/>
      <c r="I46" s="13"/>
      <c r="J46" s="14"/>
      <c r="K46" s="7"/>
      <c r="L46" s="15"/>
      <c r="M46" s="6" t="str">
        <f ca="1" xml:space="preserve">IF($G46="","",IF(AND(LEFT($G46,5)="Mover",$H46=""),"Falta a equipe destino",IF(AND(LEFT($G46,5)="Mover",$H46=$A46),"Já está nesta equipe",IF(AND(LEFT($G46,5)="Mover",COUNTIF(EQUIPES!$C$2:$C$300,$H46)=0),"Equipe destino não existe",IF(AND($G46="Mudar status",$I46=""),"Falta o novo status",IF(AND($G46="Mudar status",OR(AND($K46&lt;&gt;"",$J46=""),AND($K46="",$J46&lt;&gt;""))),"Preencha A partir de e Até",IF(AND($G46&lt;&gt;"Mudar status",$K46&lt;&gt;"",$K46&gt;TODAY()),"Data futura: o sistema aplica na hora","Pronto para enviar")))))))</f>
        <v/>
      </c>
    </row>
    <row r="47" ht="24" customHeight="1" spans="1:13">
      <c r="A47" s="4"/>
      <c r="B47" s="13"/>
      <c r="C47" s="13"/>
      <c r="D47" s="4"/>
      <c r="E47" s="13"/>
      <c r="F47" s="13"/>
      <c r="G47" s="4"/>
      <c r="H47" s="4"/>
      <c r="I47" s="13"/>
      <c r="J47" s="14"/>
      <c r="K47" s="7"/>
      <c r="L47" s="15"/>
      <c r="M47" s="6" t="str">
        <f ca="1" xml:space="preserve">IF($G47="","",IF(AND(LEFT($G47,5)="Mover",$H47=""),"Falta a equipe destino",IF(AND(LEFT($G47,5)="Mover",$H47=$A47),"Já está nesta equipe",IF(AND(LEFT($G47,5)="Mover",COUNTIF(EQUIPES!$C$2:$C$300,$H47)=0),"Equipe destino não existe",IF(AND($G47="Mudar status",$I47=""),"Falta o novo status",IF(AND($G47="Mudar status",OR(AND($K47&lt;&gt;"",$J47=""),AND($K47="",$J47&lt;&gt;""))),"Preencha A partir de e Até",IF(AND($G47&lt;&gt;"Mudar status",$K47&lt;&gt;"",$K47&gt;TODAY()),"Data futura: o sistema aplica na hora","Pronto para enviar")))))))</f>
        <v/>
      </c>
    </row>
    <row r="48" ht="24" customHeight="1" spans="1:13">
      <c r="A48" s="4"/>
      <c r="B48" s="13"/>
      <c r="C48" s="13"/>
      <c r="D48" s="4"/>
      <c r="E48" s="13"/>
      <c r="F48" s="13"/>
      <c r="G48" s="4"/>
      <c r="H48" s="4"/>
      <c r="I48" s="13"/>
      <c r="J48" s="14"/>
      <c r="K48" s="7"/>
      <c r="L48" s="15"/>
      <c r="M48" s="6" t="str">
        <f ca="1" xml:space="preserve">IF($G48="","",IF(AND(LEFT($G48,5)="Mover",$H48=""),"Falta a equipe destino",IF(AND(LEFT($G48,5)="Mover",$H48=$A48),"Já está nesta equipe",IF(AND(LEFT($G48,5)="Mover",COUNTIF(EQUIPES!$C$2:$C$300,$H48)=0),"Equipe destino não existe",IF(AND($G48="Mudar status",$I48=""),"Falta o novo status",IF(AND($G48="Mudar status",OR(AND($K48&lt;&gt;"",$J48=""),AND($K48="",$J48&lt;&gt;""))),"Preencha A partir de e Até",IF(AND($G48&lt;&gt;"Mudar status",$K48&lt;&gt;"",$K48&gt;TODAY()),"Data futura: o sistema aplica na hora","Pronto para enviar")))))))</f>
        <v/>
      </c>
    </row>
    <row r="49" ht="24" customHeight="1" spans="1:13">
      <c r="A49" s="4"/>
      <c r="B49" s="13"/>
      <c r="C49" s="13"/>
      <c r="D49" s="4"/>
      <c r="E49" s="13"/>
      <c r="F49" s="13"/>
      <c r="G49" s="4"/>
      <c r="H49" s="4"/>
      <c r="I49" s="13"/>
      <c r="J49" s="14"/>
      <c r="K49" s="7"/>
      <c r="L49" s="15"/>
      <c r="M49" s="6" t="str">
        <f ca="1" xml:space="preserve">IF($G49="","",IF(AND(LEFT($G49,5)="Mover",$H49=""),"Falta a equipe destino",IF(AND(LEFT($G49,5)="Mover",$H49=$A49),"Já está nesta equipe",IF(AND(LEFT($G49,5)="Mover",COUNTIF(EQUIPES!$C$2:$C$300,$H49)=0),"Equipe destino não existe",IF(AND($G49="Mudar status",$I49=""),"Falta o novo status",IF(AND($G49="Mudar status",OR(AND($K49&lt;&gt;"",$J49=""),AND($K49="",$J49&lt;&gt;""))),"Preencha A partir de e Até",IF(AND($G49&lt;&gt;"Mudar status",$K49&lt;&gt;"",$K49&gt;TODAY()),"Data futura: o sistema aplica na hora","Pronto para enviar")))))))</f>
        <v/>
      </c>
    </row>
    <row r="50" ht="24" customHeight="1" spans="1:13">
      <c r="A50" s="4"/>
      <c r="B50" s="13"/>
      <c r="C50" s="13"/>
      <c r="D50" s="4"/>
      <c r="E50" s="13"/>
      <c r="F50" s="13"/>
      <c r="G50" s="4"/>
      <c r="H50" s="4"/>
      <c r="I50" s="13"/>
      <c r="J50" s="14"/>
      <c r="K50" s="7"/>
      <c r="L50" s="15"/>
      <c r="M50" s="6" t="str">
        <f ca="1" xml:space="preserve">IF($G50="","",IF(AND(LEFT($G50,5)="Mover",$H50=""),"Falta a equipe destino",IF(AND(LEFT($G50,5)="Mover",$H50=$A50),"Já está nesta equipe",IF(AND(LEFT($G50,5)="Mover",COUNTIF(EQUIPES!$C$2:$C$300,$H50)=0),"Equipe destino não existe",IF(AND($G50="Mudar status",$I50=""),"Falta o novo status",IF(AND($G50="Mudar status",OR(AND($K50&lt;&gt;"",$J50=""),AND($K50="",$J50&lt;&gt;""))),"Preencha A partir de e Até",IF(AND($G50&lt;&gt;"Mudar status",$K50&lt;&gt;"",$K50&gt;TODAY()),"Data futura: o sistema aplica na hora","Pronto para enviar")))))))</f>
        <v/>
      </c>
    </row>
    <row r="51" ht="24" customHeight="1" spans="1:13">
      <c r="A51" s="4"/>
      <c r="B51" s="13"/>
      <c r="C51" s="13"/>
      <c r="D51" s="4"/>
      <c r="E51" s="13"/>
      <c r="F51" s="13"/>
      <c r="G51" s="4"/>
      <c r="H51" s="4"/>
      <c r="I51" s="13"/>
      <c r="J51" s="14"/>
      <c r="K51" s="7"/>
      <c r="L51" s="15"/>
      <c r="M51" s="6" t="str">
        <f ca="1" xml:space="preserve">IF($G51="","",IF(AND(LEFT($G51,5)="Mover",$H51=""),"Falta a equipe destino",IF(AND(LEFT($G51,5)="Mover",$H51=$A51),"Já está nesta equipe",IF(AND(LEFT($G51,5)="Mover",COUNTIF(EQUIPES!$C$2:$C$300,$H51)=0),"Equipe destino não existe",IF(AND($G51="Mudar status",$I51=""),"Falta o novo status",IF(AND($G51="Mudar status",OR(AND($K51&lt;&gt;"",$J51=""),AND($K51="",$J51&lt;&gt;""))),"Preencha A partir de e Até",IF(AND($G51&lt;&gt;"Mudar status",$K51&lt;&gt;"",$K51&gt;TODAY()),"Data futura: o sistema aplica na hora","Pronto para enviar")))))))</f>
        <v/>
      </c>
    </row>
    <row r="52" ht="24" customHeight="1" spans="1:13">
      <c r="A52" s="4"/>
      <c r="B52" s="13"/>
      <c r="C52" s="13"/>
      <c r="D52" s="4"/>
      <c r="E52" s="13"/>
      <c r="F52" s="13"/>
      <c r="G52" s="4"/>
      <c r="H52" s="4"/>
      <c r="I52" s="13"/>
      <c r="J52" s="14"/>
      <c r="K52" s="7"/>
      <c r="L52" s="15"/>
      <c r="M52" s="6" t="str">
        <f ca="1" xml:space="preserve">IF($G52="","",IF(AND(LEFT($G52,5)="Mover",$H52=""),"Falta a equipe destino",IF(AND(LEFT($G52,5)="Mover",$H52=$A52),"Já está nesta equipe",IF(AND(LEFT($G52,5)="Mover",COUNTIF(EQUIPES!$C$2:$C$300,$H52)=0),"Equipe destino não existe",IF(AND($G52="Mudar status",$I52=""),"Falta o novo status",IF(AND($G52="Mudar status",OR(AND($K52&lt;&gt;"",$J52=""),AND($K52="",$J52&lt;&gt;""))),"Preencha A partir de e Até",IF(AND($G52&lt;&gt;"Mudar status",$K52&lt;&gt;"",$K52&gt;TODAY()),"Data futura: o sistema aplica na hora","Pronto para enviar")))))))</f>
        <v/>
      </c>
    </row>
    <row r="53" ht="24" customHeight="1" spans="1:13">
      <c r="A53" s="4"/>
      <c r="B53" s="13"/>
      <c r="C53" s="13"/>
      <c r="D53" s="4"/>
      <c r="E53" s="13"/>
      <c r="F53" s="13"/>
      <c r="G53" s="4"/>
      <c r="H53" s="4"/>
      <c r="I53" s="13"/>
      <c r="J53" s="14"/>
      <c r="K53" s="7"/>
      <c r="L53" s="15"/>
      <c r="M53" s="6" t="str">
        <f ca="1" xml:space="preserve">IF($G53="","",IF(AND(LEFT($G53,5)="Mover",$H53=""),"Falta a equipe destino",IF(AND(LEFT($G53,5)="Mover",$H53=$A53),"Já está nesta equipe",IF(AND(LEFT($G53,5)="Mover",COUNTIF(EQUIPES!$C$2:$C$300,$H53)=0),"Equipe destino não existe",IF(AND($G53="Mudar status",$I53=""),"Falta o novo status",IF(AND($G53="Mudar status",OR(AND($K53&lt;&gt;"",$J53=""),AND($K53="",$J53&lt;&gt;""))),"Preencha A partir de e Até",IF(AND($G53&lt;&gt;"Mudar status",$K53&lt;&gt;"",$K53&gt;TODAY()),"Data futura: o sistema aplica na hora","Pronto para enviar")))))))</f>
        <v/>
      </c>
    </row>
    <row r="54" ht="24" customHeight="1" spans="1:13">
      <c r="A54" s="4"/>
      <c r="B54" s="13"/>
      <c r="C54" s="13"/>
      <c r="D54" s="4"/>
      <c r="E54" s="13"/>
      <c r="F54" s="13"/>
      <c r="G54" s="4"/>
      <c r="H54" s="4"/>
      <c r="I54" s="13"/>
      <c r="J54" s="14"/>
      <c r="K54" s="7"/>
      <c r="L54" s="15"/>
      <c r="M54" s="6" t="str">
        <f ca="1" xml:space="preserve">IF($G54="","",IF(AND(LEFT($G54,5)="Mover",$H54=""),"Falta a equipe destino",IF(AND(LEFT($G54,5)="Mover",$H54=$A54),"Já está nesta equipe",IF(AND(LEFT($G54,5)="Mover",COUNTIF(EQUIPES!$C$2:$C$300,$H54)=0),"Equipe destino não existe",IF(AND($G54="Mudar status",$I54=""),"Falta o novo status",IF(AND($G54="Mudar status",OR(AND($K54&lt;&gt;"",$J54=""),AND($K54="",$J54&lt;&gt;""))),"Preencha A partir de e Até",IF(AND($G54&lt;&gt;"Mudar status",$K54&lt;&gt;"",$K54&gt;TODAY()),"Data futura: o sistema aplica na hora","Pronto para enviar")))))))</f>
        <v/>
      </c>
    </row>
    <row r="55" ht="24" customHeight="1" spans="1:13">
      <c r="A55" s="4"/>
      <c r="B55" s="13"/>
      <c r="C55" s="13"/>
      <c r="D55" s="4"/>
      <c r="E55" s="13"/>
      <c r="F55" s="13"/>
      <c r="G55" s="4"/>
      <c r="H55" s="4"/>
      <c r="I55" s="13"/>
      <c r="J55" s="14"/>
      <c r="K55" s="7"/>
      <c r="L55" s="15"/>
      <c r="M55" s="6" t="str">
        <f ca="1" xml:space="preserve">IF($G55="","",IF(AND(LEFT($G55,5)="Mover",$H55=""),"Falta a equipe destino",IF(AND(LEFT($G55,5)="Mover",$H55=$A55),"Já está nesta equipe",IF(AND(LEFT($G55,5)="Mover",COUNTIF(EQUIPES!$C$2:$C$300,$H55)=0),"Equipe destino não existe",IF(AND($G55="Mudar status",$I55=""),"Falta o novo status",IF(AND($G55="Mudar status",OR(AND($K55&lt;&gt;"",$J55=""),AND($K55="",$J55&lt;&gt;""))),"Preencha A partir de e Até",IF(AND($G55&lt;&gt;"Mudar status",$K55&lt;&gt;"",$K55&gt;TODAY()),"Data futura: o sistema aplica na hora","Pronto para enviar")))))))</f>
        <v/>
      </c>
    </row>
    <row r="56" ht="24" customHeight="1" spans="1:13">
      <c r="A56" s="4"/>
      <c r="B56" s="13"/>
      <c r="C56" s="13"/>
      <c r="D56" s="4"/>
      <c r="E56" s="13"/>
      <c r="F56" s="13"/>
      <c r="G56" s="4"/>
      <c r="H56" s="4"/>
      <c r="I56" s="13"/>
      <c r="J56" s="14"/>
      <c r="K56" s="7"/>
      <c r="L56" s="15"/>
      <c r="M56" s="6" t="str">
        <f ca="1" xml:space="preserve">IF($G56="","",IF(AND(LEFT($G56,5)="Mover",$H56=""),"Falta a equipe destino",IF(AND(LEFT($G56,5)="Mover",$H56=$A56),"Já está nesta equipe",IF(AND(LEFT($G56,5)="Mover",COUNTIF(EQUIPES!$C$2:$C$300,$H56)=0),"Equipe destino não existe",IF(AND($G56="Mudar status",$I56=""),"Falta o novo status",IF(AND($G56="Mudar status",OR(AND($K56&lt;&gt;"",$J56=""),AND($K56="",$J56&lt;&gt;""))),"Preencha A partir de e Até",IF(AND($G56&lt;&gt;"Mudar status",$K56&lt;&gt;"",$K56&gt;TODAY()),"Data futura: o sistema aplica na hora","Pronto para enviar")))))))</f>
        <v/>
      </c>
    </row>
    <row r="57" ht="24" customHeight="1" spans="1:13">
      <c r="A57" s="4"/>
      <c r="B57" s="13"/>
      <c r="C57" s="13"/>
      <c r="D57" s="4"/>
      <c r="E57" s="13"/>
      <c r="F57" s="13"/>
      <c r="G57" s="4"/>
      <c r="H57" s="4"/>
      <c r="I57" s="13"/>
      <c r="J57" s="14"/>
      <c r="K57" s="7"/>
      <c r="L57" s="15"/>
      <c r="M57" s="6" t="str">
        <f ca="1" xml:space="preserve">IF($G57="","",IF(AND(LEFT($G57,5)="Mover",$H57=""),"Falta a equipe destino",IF(AND(LEFT($G57,5)="Mover",$H57=$A57),"Já está nesta equipe",IF(AND(LEFT($G57,5)="Mover",COUNTIF(EQUIPES!$C$2:$C$300,$H57)=0),"Equipe destino não existe",IF(AND($G57="Mudar status",$I57=""),"Falta o novo status",IF(AND($G57="Mudar status",OR(AND($K57&lt;&gt;"",$J57=""),AND($K57="",$J57&lt;&gt;""))),"Preencha A partir de e Até",IF(AND($G57&lt;&gt;"Mudar status",$K57&lt;&gt;"",$K57&gt;TODAY()),"Data futura: o sistema aplica na hora","Pronto para enviar")))))))</f>
        <v/>
      </c>
    </row>
    <row r="58" ht="24" customHeight="1" spans="1:13">
      <c r="A58" s="4"/>
      <c r="B58" s="13"/>
      <c r="C58" s="13"/>
      <c r="D58" s="4"/>
      <c r="E58" s="13"/>
      <c r="F58" s="13"/>
      <c r="G58" s="4"/>
      <c r="H58" s="4"/>
      <c r="I58" s="13"/>
      <c r="J58" s="14"/>
      <c r="K58" s="7"/>
      <c r="L58" s="15"/>
      <c r="M58" s="6" t="str">
        <f ca="1" xml:space="preserve">IF($G58="","",IF(AND(LEFT($G58,5)="Mover",$H58=""),"Falta a equipe destino",IF(AND(LEFT($G58,5)="Mover",$H58=$A58),"Já está nesta equipe",IF(AND(LEFT($G58,5)="Mover",COUNTIF(EQUIPES!$C$2:$C$300,$H58)=0),"Equipe destino não existe",IF(AND($G58="Mudar status",$I58=""),"Falta o novo status",IF(AND($G58="Mudar status",OR(AND($K58&lt;&gt;"",$J58=""),AND($K58="",$J58&lt;&gt;""))),"Preencha A partir de e Até",IF(AND($G58&lt;&gt;"Mudar status",$K58&lt;&gt;"",$K58&gt;TODAY()),"Data futura: o sistema aplica na hora","Pronto para enviar")))))))</f>
        <v/>
      </c>
    </row>
    <row r="59" ht="24" customHeight="1" spans="1:13">
      <c r="A59" s="4"/>
      <c r="B59" s="13"/>
      <c r="C59" s="13"/>
      <c r="D59" s="4"/>
      <c r="E59" s="13"/>
      <c r="F59" s="13"/>
      <c r="G59" s="4"/>
      <c r="H59" s="4"/>
      <c r="I59" s="13"/>
      <c r="J59" s="14"/>
      <c r="K59" s="7"/>
      <c r="L59" s="15"/>
      <c r="M59" s="6" t="str">
        <f ca="1" xml:space="preserve">IF($G59="","",IF(AND(LEFT($G59,5)="Mover",$H59=""),"Falta a equipe destino",IF(AND(LEFT($G59,5)="Mover",$H59=$A59),"Já está nesta equipe",IF(AND(LEFT($G59,5)="Mover",COUNTIF(EQUIPES!$C$2:$C$300,$H59)=0),"Equipe destino não existe",IF(AND($G59="Mudar status",$I59=""),"Falta o novo status",IF(AND($G59="Mudar status",OR(AND($K59&lt;&gt;"",$J59=""),AND($K59="",$J59&lt;&gt;""))),"Preencha A partir de e Até",IF(AND($G59&lt;&gt;"Mudar status",$K59&lt;&gt;"",$K59&gt;TODAY()),"Data futura: o sistema aplica na hora","Pronto para enviar")))))))</f>
        <v/>
      </c>
    </row>
    <row r="60" ht="24" customHeight="1" spans="1:13">
      <c r="A60" s="4"/>
      <c r="B60" s="13"/>
      <c r="C60" s="13"/>
      <c r="D60" s="4"/>
      <c r="E60" s="13"/>
      <c r="F60" s="13"/>
      <c r="G60" s="4"/>
      <c r="H60" s="4"/>
      <c r="I60" s="13"/>
      <c r="J60" s="14"/>
      <c r="K60" s="7"/>
      <c r="L60" s="15"/>
      <c r="M60" s="6" t="str">
        <f ca="1" xml:space="preserve">IF($G60="","",IF(AND(LEFT($G60,5)="Mover",$H60=""),"Falta a equipe destino",IF(AND(LEFT($G60,5)="Mover",$H60=$A60),"Já está nesta equipe",IF(AND(LEFT($G60,5)="Mover",COUNTIF(EQUIPES!$C$2:$C$300,$H60)=0),"Equipe destino não existe",IF(AND($G60="Mudar status",$I60=""),"Falta o novo status",IF(AND($G60="Mudar status",OR(AND($K60&lt;&gt;"",$J60=""),AND($K60="",$J60&lt;&gt;""))),"Preencha A partir de e Até",IF(AND($G60&lt;&gt;"Mudar status",$K60&lt;&gt;"",$K60&gt;TODAY()),"Data futura: o sistema aplica na hora","Pronto para enviar")))))))</f>
        <v/>
      </c>
    </row>
    <row r="61" ht="24" customHeight="1" spans="1:13">
      <c r="A61" s="4"/>
      <c r="B61" s="13"/>
      <c r="C61" s="13"/>
      <c r="D61" s="4"/>
      <c r="E61" s="13"/>
      <c r="F61" s="13"/>
      <c r="G61" s="4"/>
      <c r="H61" s="4"/>
      <c r="I61" s="13"/>
      <c r="J61" s="14"/>
      <c r="K61" s="7"/>
      <c r="L61" s="15"/>
      <c r="M61" s="6" t="str">
        <f ca="1" xml:space="preserve">IF($G61="","",IF(AND(LEFT($G61,5)="Mover",$H61=""),"Falta a equipe destino",IF(AND(LEFT($G61,5)="Mover",$H61=$A61),"Já está nesta equipe",IF(AND(LEFT($G61,5)="Mover",COUNTIF(EQUIPES!$C$2:$C$300,$H61)=0),"Equipe destino não existe",IF(AND($G61="Mudar status",$I61=""),"Falta o novo status",IF(AND($G61="Mudar status",OR(AND($K61&lt;&gt;"",$J61=""),AND($K61="",$J61&lt;&gt;""))),"Preencha A partir de e Até",IF(AND($G61&lt;&gt;"Mudar status",$K61&lt;&gt;"",$K61&gt;TODAY()),"Data futura: o sistema aplica na hora","Pronto para enviar")))))))</f>
        <v/>
      </c>
    </row>
    <row r="62" ht="24" customHeight="1" spans="1:13">
      <c r="A62" s="4"/>
      <c r="B62" s="13"/>
      <c r="C62" s="13"/>
      <c r="D62" s="4"/>
      <c r="E62" s="13"/>
      <c r="F62" s="13"/>
      <c r="G62" s="4"/>
      <c r="H62" s="4"/>
      <c r="I62" s="13"/>
      <c r="J62" s="14"/>
      <c r="K62" s="7"/>
      <c r="L62" s="15"/>
      <c r="M62" s="6" t="str">
        <f ca="1" xml:space="preserve">IF($G62="","",IF(AND(LEFT($G62,5)="Mover",$H62=""),"Falta a equipe destino",IF(AND(LEFT($G62,5)="Mover",$H62=$A62),"Já está nesta equipe",IF(AND(LEFT($G62,5)="Mover",COUNTIF(EQUIPES!$C$2:$C$300,$H62)=0),"Equipe destino não existe",IF(AND($G62="Mudar status",$I62=""),"Falta o novo status",IF(AND($G62="Mudar status",OR(AND($K62&lt;&gt;"",$J62=""),AND($K62="",$J62&lt;&gt;""))),"Preencha A partir de e Até",IF(AND($G62&lt;&gt;"Mudar status",$K62&lt;&gt;"",$K62&gt;TODAY()),"Data futura: o sistema aplica na hora","Pronto para enviar")))))))</f>
        <v/>
      </c>
    </row>
    <row r="63" ht="24" customHeight="1" spans="1:13">
      <c r="A63" s="4"/>
      <c r="B63" s="13"/>
      <c r="C63" s="13"/>
      <c r="D63" s="4"/>
      <c r="E63" s="13"/>
      <c r="F63" s="13"/>
      <c r="G63" s="4"/>
      <c r="H63" s="4"/>
      <c r="I63" s="13"/>
      <c r="J63" s="14"/>
      <c r="K63" s="7"/>
      <c r="L63" s="15"/>
      <c r="M63" s="6" t="str">
        <f ca="1" xml:space="preserve">IF($G63="","",IF(AND(LEFT($G63,5)="Mover",$H63=""),"Falta a equipe destino",IF(AND(LEFT($G63,5)="Mover",$H63=$A63),"Já está nesta equipe",IF(AND(LEFT($G63,5)="Mover",COUNTIF(EQUIPES!$C$2:$C$300,$H63)=0),"Equipe destino não existe",IF(AND($G63="Mudar status",$I63=""),"Falta o novo status",IF(AND($G63="Mudar status",OR(AND($K63&lt;&gt;"",$J63=""),AND($K63="",$J63&lt;&gt;""))),"Preencha A partir de e Até",IF(AND($G63&lt;&gt;"Mudar status",$K63&lt;&gt;"",$K63&gt;TODAY()),"Data futura: o sistema aplica na hora","Pronto para enviar")))))))</f>
        <v/>
      </c>
    </row>
    <row r="64" ht="24" customHeight="1" spans="1:13">
      <c r="A64" s="4"/>
      <c r="B64" s="13"/>
      <c r="C64" s="13"/>
      <c r="D64" s="4"/>
      <c r="E64" s="13"/>
      <c r="F64" s="13"/>
      <c r="G64" s="4"/>
      <c r="H64" s="4"/>
      <c r="I64" s="13"/>
      <c r="J64" s="14"/>
      <c r="K64" s="7"/>
      <c r="L64" s="15"/>
      <c r="M64" s="6" t="str">
        <f ca="1" xml:space="preserve">IF($G64="","",IF(AND(LEFT($G64,5)="Mover",$H64=""),"Falta a equipe destino",IF(AND(LEFT($G64,5)="Mover",$H64=$A64),"Já está nesta equipe",IF(AND(LEFT($G64,5)="Mover",COUNTIF(EQUIPES!$C$2:$C$300,$H64)=0),"Equipe destino não existe",IF(AND($G64="Mudar status",$I64=""),"Falta o novo status",IF(AND($G64="Mudar status",OR(AND($K64&lt;&gt;"",$J64=""),AND($K64="",$J64&lt;&gt;""))),"Preencha A partir de e Até",IF(AND($G64&lt;&gt;"Mudar status",$K64&lt;&gt;"",$K64&gt;TODAY()),"Data futura: o sistema aplica na hora","Pronto para enviar")))))))</f>
        <v/>
      </c>
    </row>
    <row r="65" ht="24" customHeight="1" spans="1:13">
      <c r="A65" s="4"/>
      <c r="B65" s="13"/>
      <c r="C65" s="13"/>
      <c r="D65" s="4"/>
      <c r="E65" s="13"/>
      <c r="F65" s="13"/>
      <c r="G65" s="4"/>
      <c r="H65" s="4"/>
      <c r="I65" s="13"/>
      <c r="J65" s="14"/>
      <c r="K65" s="7"/>
      <c r="L65" s="15"/>
      <c r="M65" s="6" t="str">
        <f ca="1" xml:space="preserve">IF($G65="","",IF(AND(LEFT($G65,5)="Mover",$H65=""),"Falta a equipe destino",IF(AND(LEFT($G65,5)="Mover",$H65=$A65),"Já está nesta equipe",IF(AND(LEFT($G65,5)="Mover",COUNTIF(EQUIPES!$C$2:$C$300,$H65)=0),"Equipe destino não existe",IF(AND($G65="Mudar status",$I65=""),"Falta o novo status",IF(AND($G65="Mudar status",OR(AND($K65&lt;&gt;"",$J65=""),AND($K65="",$J65&lt;&gt;""))),"Preencha A partir de e Até",IF(AND($G65&lt;&gt;"Mudar status",$K65&lt;&gt;"",$K65&gt;TODAY()),"Data futura: o sistema aplica na hora","Pronto para enviar")))))))</f>
        <v/>
      </c>
    </row>
    <row r="66" ht="24" customHeight="1" spans="1:13">
      <c r="A66" s="4"/>
      <c r="B66" s="13"/>
      <c r="C66" s="13"/>
      <c r="D66" s="4"/>
      <c r="E66" s="13"/>
      <c r="F66" s="13"/>
      <c r="G66" s="4"/>
      <c r="H66" s="4"/>
      <c r="I66" s="13"/>
      <c r="J66" s="14"/>
      <c r="K66" s="7"/>
      <c r="L66" s="15"/>
      <c r="M66" s="6" t="str">
        <f ca="1" xml:space="preserve">IF($G66="","",IF(AND(LEFT($G66,5)="Mover",$H66=""),"Falta a equipe destino",IF(AND(LEFT($G66,5)="Mover",$H66=$A66),"Já está nesta equipe",IF(AND(LEFT($G66,5)="Mover",COUNTIF(EQUIPES!$C$2:$C$300,$H66)=0),"Equipe destino não existe",IF(AND($G66="Mudar status",$I66=""),"Falta o novo status",IF(AND($G66="Mudar status",OR(AND($K66&lt;&gt;"",$J66=""),AND($K66="",$J66&lt;&gt;""))),"Preencha A partir de e Até",IF(AND($G66&lt;&gt;"Mudar status",$K66&lt;&gt;"",$K66&gt;TODAY()),"Data futura: o sistema aplica na hora","Pronto para enviar")))))))</f>
        <v/>
      </c>
    </row>
    <row r="67" ht="24" customHeight="1" spans="1:13">
      <c r="A67" s="4"/>
      <c r="B67" s="13"/>
      <c r="C67" s="13"/>
      <c r="D67" s="4"/>
      <c r="E67" s="13"/>
      <c r="F67" s="13"/>
      <c r="G67" s="4"/>
      <c r="H67" s="4"/>
      <c r="I67" s="13"/>
      <c r="J67" s="14"/>
      <c r="K67" s="7"/>
      <c r="L67" s="15"/>
      <c r="M67" s="6" t="str">
        <f ca="1" xml:space="preserve">IF($G67="","",IF(AND(LEFT($G67,5)="Mover",$H67=""),"Falta a equipe destino",IF(AND(LEFT($G67,5)="Mover",$H67=$A67),"Já está nesta equipe",IF(AND(LEFT($G67,5)="Mover",COUNTIF(EQUIPES!$C$2:$C$300,$H67)=0),"Equipe destino não existe",IF(AND($G67="Mudar status",$I67=""),"Falta o novo status",IF(AND($G67="Mudar status",OR(AND($K67&lt;&gt;"",$J67=""),AND($K67="",$J67&lt;&gt;""))),"Preencha A partir de e Até",IF(AND($G67&lt;&gt;"Mudar status",$K67&lt;&gt;"",$K67&gt;TODAY()),"Data futura: o sistema aplica na hora","Pronto para enviar")))))))</f>
        <v/>
      </c>
    </row>
    <row r="68" ht="24" customHeight="1" spans="1:13">
      <c r="A68" s="4"/>
      <c r="B68" s="13"/>
      <c r="C68" s="13"/>
      <c r="D68" s="4"/>
      <c r="E68" s="13"/>
      <c r="F68" s="13"/>
      <c r="G68" s="4"/>
      <c r="H68" s="4"/>
      <c r="I68" s="13"/>
      <c r="J68" s="14"/>
      <c r="K68" s="7"/>
      <c r="L68" s="15"/>
      <c r="M68" s="6" t="str">
        <f ca="1" xml:space="preserve">IF($G68="","",IF(AND(LEFT($G68,5)="Mover",$H68=""),"Falta a equipe destino",IF(AND(LEFT($G68,5)="Mover",$H68=$A68),"Já está nesta equipe",IF(AND(LEFT($G68,5)="Mover",COUNTIF(EQUIPES!$C$2:$C$300,$H68)=0),"Equipe destino não existe",IF(AND($G68="Mudar status",$I68=""),"Falta o novo status",IF(AND($G68="Mudar status",OR(AND($K68&lt;&gt;"",$J68=""),AND($K68="",$J68&lt;&gt;""))),"Preencha A partir de e Até",IF(AND($G68&lt;&gt;"Mudar status",$K68&lt;&gt;"",$K68&gt;TODAY()),"Data futura: o sistema aplica na hora","Pronto para enviar")))))))</f>
        <v/>
      </c>
    </row>
    <row r="69" ht="24" customHeight="1" spans="1:13">
      <c r="A69" s="4"/>
      <c r="B69" s="13"/>
      <c r="C69" s="13"/>
      <c r="D69" s="4"/>
      <c r="E69" s="13"/>
      <c r="F69" s="13"/>
      <c r="G69" s="4"/>
      <c r="H69" s="4"/>
      <c r="I69" s="13"/>
      <c r="J69" s="14"/>
      <c r="K69" s="7"/>
      <c r="L69" s="15"/>
      <c r="M69" s="6" t="str">
        <f ca="1" xml:space="preserve">IF($G69="","",IF(AND(LEFT($G69,5)="Mover",$H69=""),"Falta a equipe destino",IF(AND(LEFT($G69,5)="Mover",$H69=$A69),"Já está nesta equipe",IF(AND(LEFT($G69,5)="Mover",COUNTIF(EQUIPES!$C$2:$C$300,$H69)=0),"Equipe destino não existe",IF(AND($G69="Mudar status",$I69=""),"Falta o novo status",IF(AND($G69="Mudar status",OR(AND($K69&lt;&gt;"",$J69=""),AND($K69="",$J69&lt;&gt;""))),"Preencha A partir de e Até",IF(AND($G69&lt;&gt;"Mudar status",$K69&lt;&gt;"",$K69&gt;TODAY()),"Data futura: o sistema aplica na hora","Pronto para enviar")))))))</f>
        <v/>
      </c>
    </row>
    <row r="70" ht="24" customHeight="1" spans="1:13">
      <c r="A70" s="4"/>
      <c r="B70" s="13"/>
      <c r="C70" s="13"/>
      <c r="D70" s="4"/>
      <c r="E70" s="13"/>
      <c r="F70" s="13"/>
      <c r="G70" s="4"/>
      <c r="H70" s="4"/>
      <c r="I70" s="13"/>
      <c r="J70" s="14"/>
      <c r="K70" s="7"/>
      <c r="L70" s="15"/>
      <c r="M70" s="6" t="str">
        <f ca="1" xml:space="preserve">IF($G70="","",IF(AND(LEFT($G70,5)="Mover",$H70=""),"Falta a equipe destino",IF(AND(LEFT($G70,5)="Mover",$H70=$A70),"Já está nesta equipe",IF(AND(LEFT($G70,5)="Mover",COUNTIF(EQUIPES!$C$2:$C$300,$H70)=0),"Equipe destino não existe",IF(AND($G70="Mudar status",$I70=""),"Falta o novo status",IF(AND($G70="Mudar status",OR(AND($K70&lt;&gt;"",$J70=""),AND($K70="",$J70&lt;&gt;""))),"Preencha A partir de e Até",IF(AND($G70&lt;&gt;"Mudar status",$K70&lt;&gt;"",$K70&gt;TODAY()),"Data futura: o sistema aplica na hora","Pronto para enviar")))))))</f>
        <v/>
      </c>
    </row>
    <row r="71" ht="24" customHeight="1" spans="1:13">
      <c r="A71" s="4"/>
      <c r="B71" s="13"/>
      <c r="C71" s="13"/>
      <c r="D71" s="4"/>
      <c r="E71" s="13"/>
      <c r="F71" s="13"/>
      <c r="G71" s="4"/>
      <c r="H71" s="4"/>
      <c r="I71" s="13"/>
      <c r="J71" s="14"/>
      <c r="K71" s="7"/>
      <c r="L71" s="15"/>
      <c r="M71" s="6" t="str">
        <f ca="1" xml:space="preserve">IF($G71="","",IF(AND(LEFT($G71,5)="Mover",$H71=""),"Falta a equipe destino",IF(AND(LEFT($G71,5)="Mover",$H71=$A71),"Já está nesta equipe",IF(AND(LEFT($G71,5)="Mover",COUNTIF(EQUIPES!$C$2:$C$300,$H71)=0),"Equipe destino não existe",IF(AND($G71="Mudar status",$I71=""),"Falta o novo status",IF(AND($G71="Mudar status",OR(AND($K71&lt;&gt;"",$J71=""),AND($K71="",$J71&lt;&gt;""))),"Preencha A partir de e Até",IF(AND($G71&lt;&gt;"Mudar status",$K71&lt;&gt;"",$K71&gt;TODAY()),"Data futura: o sistema aplica na hora","Pronto para enviar")))))))</f>
        <v/>
      </c>
    </row>
    <row r="72" ht="24" customHeight="1" spans="1:13">
      <c r="A72" s="4"/>
      <c r="B72" s="13"/>
      <c r="C72" s="13"/>
      <c r="D72" s="4"/>
      <c r="E72" s="13"/>
      <c r="F72" s="13"/>
      <c r="G72" s="4"/>
      <c r="H72" s="4"/>
      <c r="I72" s="13"/>
      <c r="J72" s="14"/>
      <c r="K72" s="7"/>
      <c r="L72" s="15"/>
      <c r="M72" s="6" t="str">
        <f ca="1" xml:space="preserve">IF($G72="","",IF(AND(LEFT($G72,5)="Mover",$H72=""),"Falta a equipe destino",IF(AND(LEFT($G72,5)="Mover",$H72=$A72),"Já está nesta equipe",IF(AND(LEFT($G72,5)="Mover",COUNTIF(EQUIPES!$C$2:$C$300,$H72)=0),"Equipe destino não existe",IF(AND($G72="Mudar status",$I72=""),"Falta o novo status",IF(AND($G72="Mudar status",OR(AND($K72&lt;&gt;"",$J72=""),AND($K72="",$J72&lt;&gt;""))),"Preencha A partir de e Até",IF(AND($G72&lt;&gt;"Mudar status",$K72&lt;&gt;"",$K72&gt;TODAY()),"Data futura: o sistema aplica na hora","Pronto para enviar")))))))</f>
        <v/>
      </c>
    </row>
    <row r="73" ht="24" customHeight="1" spans="1:13">
      <c r="A73" s="4"/>
      <c r="B73" s="13"/>
      <c r="C73" s="13"/>
      <c r="D73" s="4"/>
      <c r="E73" s="13"/>
      <c r="F73" s="13"/>
      <c r="G73" s="4"/>
      <c r="H73" s="4"/>
      <c r="I73" s="13"/>
      <c r="J73" s="14"/>
      <c r="K73" s="7"/>
      <c r="L73" s="15"/>
      <c r="M73" s="6" t="str">
        <f ca="1" xml:space="preserve">IF($G73="","",IF(AND(LEFT($G73,5)="Mover",$H73=""),"Falta a equipe destino",IF(AND(LEFT($G73,5)="Mover",$H73=$A73),"Já está nesta equipe",IF(AND(LEFT($G73,5)="Mover",COUNTIF(EQUIPES!$C$2:$C$300,$H73)=0),"Equipe destino não existe",IF(AND($G73="Mudar status",$I73=""),"Falta o novo status",IF(AND($G73="Mudar status",OR(AND($K73&lt;&gt;"",$J73=""),AND($K73="",$J73&lt;&gt;""))),"Preencha A partir de e Até",IF(AND($G73&lt;&gt;"Mudar status",$K73&lt;&gt;"",$K73&gt;TODAY()),"Data futura: o sistema aplica na hora","Pronto para enviar")))))))</f>
        <v/>
      </c>
    </row>
    <row r="74" ht="24" customHeight="1" spans="1:13">
      <c r="A74" s="4"/>
      <c r="B74" s="13"/>
      <c r="C74" s="13"/>
      <c r="D74" s="4"/>
      <c r="E74" s="13"/>
      <c r="F74" s="13"/>
      <c r="G74" s="4"/>
      <c r="H74" s="4"/>
      <c r="I74" s="13"/>
      <c r="J74" s="14"/>
      <c r="K74" s="7"/>
      <c r="L74" s="15"/>
      <c r="M74" s="6" t="str">
        <f ca="1" xml:space="preserve">IF($G74="","",IF(AND(LEFT($G74,5)="Mover",$H74=""),"Falta a equipe destino",IF(AND(LEFT($G74,5)="Mover",$H74=$A74),"Já está nesta equipe",IF(AND(LEFT($G74,5)="Mover",COUNTIF(EQUIPES!$C$2:$C$300,$H74)=0),"Equipe destino não existe",IF(AND($G74="Mudar status",$I74=""),"Falta o novo status",IF(AND($G74="Mudar status",OR(AND($K74&lt;&gt;"",$J74=""),AND($K74="",$J74&lt;&gt;""))),"Preencha A partir de e Até",IF(AND($G74&lt;&gt;"Mudar status",$K74&lt;&gt;"",$K74&gt;TODAY()),"Data futura: o sistema aplica na hora","Pronto para enviar")))))))</f>
        <v/>
      </c>
    </row>
    <row r="75" ht="24" customHeight="1" spans="1:13">
      <c r="A75" s="4"/>
      <c r="B75" s="13"/>
      <c r="C75" s="13"/>
      <c r="D75" s="4"/>
      <c r="E75" s="13"/>
      <c r="F75" s="13"/>
      <c r="G75" s="4"/>
      <c r="H75" s="4"/>
      <c r="I75" s="13"/>
      <c r="J75" s="14"/>
      <c r="K75" s="7"/>
      <c r="L75" s="15"/>
      <c r="M75" s="6" t="str">
        <f ca="1" xml:space="preserve">IF($G75="","",IF(AND(LEFT($G75,5)="Mover",$H75=""),"Falta a equipe destino",IF(AND(LEFT($G75,5)="Mover",$H75=$A75),"Já está nesta equipe",IF(AND(LEFT($G75,5)="Mover",COUNTIF(EQUIPES!$C$2:$C$300,$H75)=0),"Equipe destino não existe",IF(AND($G75="Mudar status",$I75=""),"Falta o novo status",IF(AND($G75="Mudar status",OR(AND($K75&lt;&gt;"",$J75=""),AND($K75="",$J75&lt;&gt;""))),"Preencha A partir de e Até",IF(AND($G75&lt;&gt;"Mudar status",$K75&lt;&gt;"",$K75&gt;TODAY()),"Data futura: o sistema aplica na hora","Pronto para enviar")))))))</f>
        <v/>
      </c>
    </row>
    <row r="76" ht="24" customHeight="1" spans="1:13">
      <c r="A76" s="4"/>
      <c r="B76" s="13"/>
      <c r="C76" s="13"/>
      <c r="D76" s="4"/>
      <c r="E76" s="13"/>
      <c r="F76" s="13"/>
      <c r="G76" s="4"/>
      <c r="H76" s="4"/>
      <c r="I76" s="13"/>
      <c r="J76" s="14"/>
      <c r="K76" s="7"/>
      <c r="L76" s="15"/>
      <c r="M76" s="6" t="str">
        <f ca="1" xml:space="preserve">IF($G76="","",IF(AND(LEFT($G76,5)="Mover",$H76=""),"Falta a equipe destino",IF(AND(LEFT($G76,5)="Mover",$H76=$A76),"Já está nesta equipe",IF(AND(LEFT($G76,5)="Mover",COUNTIF(EQUIPES!$C$2:$C$300,$H76)=0),"Equipe destino não existe",IF(AND($G76="Mudar status",$I76=""),"Falta o novo status",IF(AND($G76="Mudar status",OR(AND($K76&lt;&gt;"",$J76=""),AND($K76="",$J76&lt;&gt;""))),"Preencha A partir de e Até",IF(AND($G76&lt;&gt;"Mudar status",$K76&lt;&gt;"",$K76&gt;TODAY()),"Data futura: o sistema aplica na hora","Pronto para enviar")))))))</f>
        <v/>
      </c>
    </row>
    <row r="77" ht="24" customHeight="1" spans="1:13">
      <c r="A77" s="4"/>
      <c r="B77" s="13"/>
      <c r="C77" s="13"/>
      <c r="D77" s="4"/>
      <c r="E77" s="13"/>
      <c r="F77" s="13"/>
      <c r="G77" s="4"/>
      <c r="H77" s="4"/>
      <c r="I77" s="13"/>
      <c r="J77" s="14"/>
      <c r="K77" s="7"/>
      <c r="L77" s="15"/>
      <c r="M77" s="6" t="str">
        <f ca="1" xml:space="preserve">IF($G77="","",IF(AND(LEFT($G77,5)="Mover",$H77=""),"Falta a equipe destino",IF(AND(LEFT($G77,5)="Mover",$H77=$A77),"Já está nesta equipe",IF(AND(LEFT($G77,5)="Mover",COUNTIF(EQUIPES!$C$2:$C$300,$H77)=0),"Equipe destino não existe",IF(AND($G77="Mudar status",$I77=""),"Falta o novo status",IF(AND($G77="Mudar status",OR(AND($K77&lt;&gt;"",$J77=""),AND($K77="",$J77&lt;&gt;""))),"Preencha A partir de e Até",IF(AND($G77&lt;&gt;"Mudar status",$K77&lt;&gt;"",$K77&gt;TODAY()),"Data futura: o sistema aplica na hora","Pronto para enviar")))))))</f>
        <v/>
      </c>
    </row>
    <row r="78" ht="24" customHeight="1" spans="1:13">
      <c r="A78" s="4"/>
      <c r="B78" s="13"/>
      <c r="C78" s="13"/>
      <c r="D78" s="4"/>
      <c r="E78" s="13"/>
      <c r="F78" s="13"/>
      <c r="G78" s="4"/>
      <c r="H78" s="4"/>
      <c r="I78" s="13"/>
      <c r="J78" s="14"/>
      <c r="K78" s="7"/>
      <c r="L78" s="15"/>
      <c r="M78" s="6" t="str">
        <f ca="1" xml:space="preserve">IF($G78="","",IF(AND(LEFT($G78,5)="Mover",$H78=""),"Falta a equipe destino",IF(AND(LEFT($G78,5)="Mover",$H78=$A78),"Já está nesta equipe",IF(AND(LEFT($G78,5)="Mover",COUNTIF(EQUIPES!$C$2:$C$300,$H78)=0),"Equipe destino não existe",IF(AND($G78="Mudar status",$I78=""),"Falta o novo status",IF(AND($G78="Mudar status",OR(AND($K78&lt;&gt;"",$J78=""),AND($K78="",$J78&lt;&gt;""))),"Preencha A partir de e Até",IF(AND($G78&lt;&gt;"Mudar status",$K78&lt;&gt;"",$K78&gt;TODAY()),"Data futura: o sistema aplica na hora","Pronto para enviar")))))))</f>
        <v/>
      </c>
    </row>
    <row r="79" ht="24" customHeight="1" spans="1:13">
      <c r="A79" s="4"/>
      <c r="B79" s="13"/>
      <c r="C79" s="13"/>
      <c r="D79" s="4"/>
      <c r="E79" s="13"/>
      <c r="F79" s="13"/>
      <c r="G79" s="4"/>
      <c r="H79" s="4"/>
      <c r="I79" s="13"/>
      <c r="J79" s="14"/>
      <c r="K79" s="7"/>
      <c r="L79" s="15"/>
      <c r="M79" s="6" t="str">
        <f ca="1" xml:space="preserve">IF($G79="","",IF(AND(LEFT($G79,5)="Mover",$H79=""),"Falta a equipe destino",IF(AND(LEFT($G79,5)="Mover",$H79=$A79),"Já está nesta equipe",IF(AND(LEFT($G79,5)="Mover",COUNTIF(EQUIPES!$C$2:$C$300,$H79)=0),"Equipe destino não existe",IF(AND($G79="Mudar status",$I79=""),"Falta o novo status",IF(AND($G79="Mudar status",OR(AND($K79&lt;&gt;"",$J79=""),AND($K79="",$J79&lt;&gt;""))),"Preencha A partir de e Até",IF(AND($G79&lt;&gt;"Mudar status",$K79&lt;&gt;"",$K79&gt;TODAY()),"Data futura: o sistema aplica na hora","Pronto para enviar")))))))</f>
        <v/>
      </c>
    </row>
    <row r="80" ht="24" customHeight="1" spans="1:13">
      <c r="A80" s="4"/>
      <c r="B80" s="13"/>
      <c r="C80" s="13"/>
      <c r="D80" s="4"/>
      <c r="E80" s="13"/>
      <c r="F80" s="13"/>
      <c r="G80" s="4"/>
      <c r="H80" s="4"/>
      <c r="I80" s="13"/>
      <c r="J80" s="14"/>
      <c r="K80" s="7"/>
      <c r="L80" s="15"/>
      <c r="M80" s="6" t="str">
        <f ca="1" xml:space="preserve">IF($G80="","",IF(AND(LEFT($G80,5)="Mover",$H80=""),"Falta a equipe destino",IF(AND(LEFT($G80,5)="Mover",$H80=$A80),"Já está nesta equipe",IF(AND(LEFT($G80,5)="Mover",COUNTIF(EQUIPES!$C$2:$C$300,$H80)=0),"Equipe destino não existe",IF(AND($G80="Mudar status",$I80=""),"Falta o novo status",IF(AND($G80="Mudar status",OR(AND($K80&lt;&gt;"",$J80=""),AND($K80="",$J80&lt;&gt;""))),"Preencha A partir de e Até",IF(AND($G80&lt;&gt;"Mudar status",$K80&lt;&gt;"",$K80&gt;TODAY()),"Data futura: o sistema aplica na hora","Pronto para enviar")))))))</f>
        <v/>
      </c>
    </row>
    <row r="81" ht="24" customHeight="1" spans="1:13">
      <c r="A81" s="4"/>
      <c r="B81" s="13"/>
      <c r="C81" s="13"/>
      <c r="D81" s="4"/>
      <c r="E81" s="13"/>
      <c r="F81" s="13"/>
      <c r="G81" s="4"/>
      <c r="H81" s="4"/>
      <c r="I81" s="13"/>
      <c r="J81" s="14"/>
      <c r="K81" s="7"/>
      <c r="L81" s="15"/>
      <c r="M81" s="6" t="str">
        <f ca="1" xml:space="preserve">IF($G81="","",IF(AND(LEFT($G81,5)="Mover",$H81=""),"Falta a equipe destino",IF(AND(LEFT($G81,5)="Mover",$H81=$A81),"Já está nesta equipe",IF(AND(LEFT($G81,5)="Mover",COUNTIF(EQUIPES!$C$2:$C$300,$H81)=0),"Equipe destino não existe",IF(AND($G81="Mudar status",$I81=""),"Falta o novo status",IF(AND($G81="Mudar status",OR(AND($K81&lt;&gt;"",$J81=""),AND($K81="",$J81&lt;&gt;""))),"Preencha A partir de e Até",IF(AND($G81&lt;&gt;"Mudar status",$K81&lt;&gt;"",$K81&gt;TODAY()),"Data futura: o sistema aplica na hora","Pronto para enviar")))))))</f>
        <v/>
      </c>
    </row>
    <row r="82" ht="24" customHeight="1" spans="1:13">
      <c r="A82" s="4"/>
      <c r="B82" s="13"/>
      <c r="C82" s="13"/>
      <c r="D82" s="4"/>
      <c r="E82" s="13"/>
      <c r="F82" s="13"/>
      <c r="G82" s="4"/>
      <c r="H82" s="4"/>
      <c r="I82" s="13"/>
      <c r="J82" s="14"/>
      <c r="K82" s="7"/>
      <c r="L82" s="15"/>
      <c r="M82" s="6" t="str">
        <f ca="1" xml:space="preserve">IF($G82="","",IF(AND(LEFT($G82,5)="Mover",$H82=""),"Falta a equipe destino",IF(AND(LEFT($G82,5)="Mover",$H82=$A82),"Já está nesta equipe",IF(AND(LEFT($G82,5)="Mover",COUNTIF(EQUIPES!$C$2:$C$300,$H82)=0),"Equipe destino não existe",IF(AND($G82="Mudar status",$I82=""),"Falta o novo status",IF(AND($G82="Mudar status",OR(AND($K82&lt;&gt;"",$J82=""),AND($K82="",$J82&lt;&gt;""))),"Preencha A partir de e Até",IF(AND($G82&lt;&gt;"Mudar status",$K82&lt;&gt;"",$K82&gt;TODAY()),"Data futura: o sistema aplica na hora","Pronto para enviar")))))))</f>
        <v/>
      </c>
    </row>
    <row r="83" ht="24" customHeight="1" spans="1:13">
      <c r="A83" s="4"/>
      <c r="B83" s="13"/>
      <c r="C83" s="13"/>
      <c r="D83" s="4"/>
      <c r="E83" s="13"/>
      <c r="F83" s="13"/>
      <c r="G83" s="4"/>
      <c r="H83" s="4"/>
      <c r="I83" s="13"/>
      <c r="J83" s="14"/>
      <c r="K83" s="7"/>
      <c r="L83" s="15"/>
      <c r="M83" s="6" t="str">
        <f ca="1" xml:space="preserve">IF($G83="","",IF(AND(LEFT($G83,5)="Mover",$H83=""),"Falta a equipe destino",IF(AND(LEFT($G83,5)="Mover",$H83=$A83),"Já está nesta equipe",IF(AND(LEFT($G83,5)="Mover",COUNTIF(EQUIPES!$C$2:$C$300,$H83)=0),"Equipe destino não existe",IF(AND($G83="Mudar status",$I83=""),"Falta o novo status",IF(AND($G83="Mudar status",OR(AND($K83&lt;&gt;"",$J83=""),AND($K83="",$J83&lt;&gt;""))),"Preencha A partir de e Até",IF(AND($G83&lt;&gt;"Mudar status",$K83&lt;&gt;"",$K83&gt;TODAY()),"Data futura: o sistema aplica na hora","Pronto para enviar")))))))</f>
        <v/>
      </c>
    </row>
    <row r="84" ht="24" customHeight="1" spans="1:13">
      <c r="A84" s="4"/>
      <c r="B84" s="13"/>
      <c r="C84" s="13"/>
      <c r="D84" s="4"/>
      <c r="E84" s="13"/>
      <c r="F84" s="13"/>
      <c r="G84" s="4"/>
      <c r="H84" s="4"/>
      <c r="I84" s="13"/>
      <c r="J84" s="14"/>
      <c r="K84" s="7"/>
      <c r="L84" s="15"/>
      <c r="M84" s="6" t="str">
        <f ca="1" xml:space="preserve">IF($G84="","",IF(AND(LEFT($G84,5)="Mover",$H84=""),"Falta a equipe destino",IF(AND(LEFT($G84,5)="Mover",$H84=$A84),"Já está nesta equipe",IF(AND(LEFT($G84,5)="Mover",COUNTIF(EQUIPES!$C$2:$C$300,$H84)=0),"Equipe destino não existe",IF(AND($G84="Mudar status",$I84=""),"Falta o novo status",IF(AND($G84="Mudar status",OR(AND($K84&lt;&gt;"",$J84=""),AND($K84="",$J84&lt;&gt;""))),"Preencha A partir de e Até",IF(AND($G84&lt;&gt;"Mudar status",$K84&lt;&gt;"",$K84&gt;TODAY()),"Data futura: o sistema aplica na hora","Pronto para enviar")))))))</f>
        <v/>
      </c>
    </row>
    <row r="85" ht="24" customHeight="1" spans="1:13">
      <c r="A85" s="4"/>
      <c r="B85" s="13"/>
      <c r="C85" s="13"/>
      <c r="D85" s="4"/>
      <c r="E85" s="13"/>
      <c r="F85" s="13"/>
      <c r="G85" s="4"/>
      <c r="H85" s="4"/>
      <c r="I85" s="13"/>
      <c r="J85" s="14"/>
      <c r="K85" s="7"/>
      <c r="L85" s="15"/>
      <c r="M85" s="6" t="str">
        <f ca="1" xml:space="preserve">IF($G85="","",IF(AND(LEFT($G85,5)="Mover",$H85=""),"Falta a equipe destino",IF(AND(LEFT($G85,5)="Mover",$H85=$A85),"Já está nesta equipe",IF(AND(LEFT($G85,5)="Mover",COUNTIF(EQUIPES!$C$2:$C$300,$H85)=0),"Equipe destino não existe",IF(AND($G85="Mudar status",$I85=""),"Falta o novo status",IF(AND($G85="Mudar status",OR(AND($K85&lt;&gt;"",$J85=""),AND($K85="",$J85&lt;&gt;""))),"Preencha A partir de e Até",IF(AND($G85&lt;&gt;"Mudar status",$K85&lt;&gt;"",$K85&gt;TODAY()),"Data futura: o sistema aplica na hora","Pronto para enviar")))))))</f>
        <v/>
      </c>
    </row>
    <row r="86" ht="24" customHeight="1" spans="1:13">
      <c r="A86" s="4"/>
      <c r="B86" s="13"/>
      <c r="C86" s="13"/>
      <c r="D86" s="4"/>
      <c r="E86" s="13"/>
      <c r="F86" s="13"/>
      <c r="G86" s="4"/>
      <c r="H86" s="4"/>
      <c r="I86" s="13"/>
      <c r="J86" s="14"/>
      <c r="K86" s="7"/>
      <c r="L86" s="15"/>
      <c r="M86" s="6" t="str">
        <f ca="1" xml:space="preserve">IF($G86="","",IF(AND(LEFT($G86,5)="Mover",$H86=""),"Falta a equipe destino",IF(AND(LEFT($G86,5)="Mover",$H86=$A86),"Já está nesta equipe",IF(AND(LEFT($G86,5)="Mover",COUNTIF(EQUIPES!$C$2:$C$300,$H86)=0),"Equipe destino não existe",IF(AND($G86="Mudar status",$I86=""),"Falta o novo status",IF(AND($G86="Mudar status",OR(AND($K86&lt;&gt;"",$J86=""),AND($K86="",$J86&lt;&gt;""))),"Preencha A partir de e Até",IF(AND($G86&lt;&gt;"Mudar status",$K86&lt;&gt;"",$K86&gt;TODAY()),"Data futura: o sistema aplica na hora","Pronto para enviar")))))))</f>
        <v/>
      </c>
    </row>
    <row r="87" ht="24" customHeight="1" spans="1:13">
      <c r="A87" s="4"/>
      <c r="B87" s="13"/>
      <c r="C87" s="13"/>
      <c r="D87" s="4"/>
      <c r="E87" s="13"/>
      <c r="F87" s="13"/>
      <c r="G87" s="4"/>
      <c r="H87" s="4"/>
      <c r="I87" s="13"/>
      <c r="J87" s="14"/>
      <c r="K87" s="7"/>
      <c r="L87" s="15"/>
      <c r="M87" s="6" t="str">
        <f ca="1" xml:space="preserve">IF($G87="","",IF(AND(LEFT($G87,5)="Mover",$H87=""),"Falta a equipe destino",IF(AND(LEFT($G87,5)="Mover",$H87=$A87),"Já está nesta equipe",IF(AND(LEFT($G87,5)="Mover",COUNTIF(EQUIPES!$C$2:$C$300,$H87)=0),"Equipe destino não existe",IF(AND($G87="Mudar status",$I87=""),"Falta o novo status",IF(AND($G87="Mudar status",OR(AND($K87&lt;&gt;"",$J87=""),AND($K87="",$J87&lt;&gt;""))),"Preencha A partir de e Até",IF(AND($G87&lt;&gt;"Mudar status",$K87&lt;&gt;"",$K87&gt;TODAY()),"Data futura: o sistema aplica na hora","Pronto para enviar")))))))</f>
        <v/>
      </c>
    </row>
    <row r="88" ht="24" customHeight="1" spans="1:13">
      <c r="A88" s="4"/>
      <c r="B88" s="13"/>
      <c r="C88" s="13"/>
      <c r="D88" s="4"/>
      <c r="E88" s="13"/>
      <c r="F88" s="13"/>
      <c r="G88" s="4"/>
      <c r="H88" s="4"/>
      <c r="I88" s="13"/>
      <c r="J88" s="14"/>
      <c r="K88" s="7"/>
      <c r="L88" s="15"/>
      <c r="M88" s="6" t="str">
        <f ca="1" xml:space="preserve">IF($G88="","",IF(AND(LEFT($G88,5)="Mover",$H88=""),"Falta a equipe destino",IF(AND(LEFT($G88,5)="Mover",$H88=$A88),"Já está nesta equipe",IF(AND(LEFT($G88,5)="Mover",COUNTIF(EQUIPES!$C$2:$C$300,$H88)=0),"Equipe destino não existe",IF(AND($G88="Mudar status",$I88=""),"Falta o novo status",IF(AND($G88="Mudar status",OR(AND($K88&lt;&gt;"",$J88=""),AND($K88="",$J88&lt;&gt;""))),"Preencha A partir de e Até",IF(AND($G88&lt;&gt;"Mudar status",$K88&lt;&gt;"",$K88&gt;TODAY()),"Data futura: o sistema aplica na hora","Pronto para enviar")))))))</f>
        <v/>
      </c>
    </row>
    <row r="89" ht="24" customHeight="1" spans="1:13">
      <c r="A89" s="4"/>
      <c r="B89" s="13"/>
      <c r="C89" s="13"/>
      <c r="D89" s="4"/>
      <c r="E89" s="13"/>
      <c r="F89" s="13"/>
      <c r="G89" s="4"/>
      <c r="H89" s="4"/>
      <c r="I89" s="13"/>
      <c r="J89" s="14"/>
      <c r="K89" s="7"/>
      <c r="L89" s="15"/>
      <c r="M89" s="6" t="str">
        <f ca="1" xml:space="preserve">IF($G89="","",IF(AND(LEFT($G89,5)="Mover",$H89=""),"Falta a equipe destino",IF(AND(LEFT($G89,5)="Mover",$H89=$A89),"Já está nesta equipe",IF(AND(LEFT($G89,5)="Mover",COUNTIF(EQUIPES!$C$2:$C$300,$H89)=0),"Equipe destino não existe",IF(AND($G89="Mudar status",$I89=""),"Falta o novo status",IF(AND($G89="Mudar status",OR(AND($K89&lt;&gt;"",$J89=""),AND($K89="",$J89&lt;&gt;""))),"Preencha A partir de e Até",IF(AND($G89&lt;&gt;"Mudar status",$K89&lt;&gt;"",$K89&gt;TODAY()),"Data futura: o sistema aplica na hora","Pronto para enviar")))))))</f>
        <v/>
      </c>
    </row>
    <row r="90" ht="24" customHeight="1" spans="1:13">
      <c r="A90" s="4"/>
      <c r="B90" s="13"/>
      <c r="C90" s="13"/>
      <c r="D90" s="4"/>
      <c r="E90" s="13"/>
      <c r="F90" s="13"/>
      <c r="G90" s="4"/>
      <c r="H90" s="4"/>
      <c r="I90" s="13"/>
      <c r="J90" s="14"/>
      <c r="K90" s="7"/>
      <c r="L90" s="15"/>
      <c r="M90" s="6" t="str">
        <f ca="1" xml:space="preserve">IF($G90="","",IF(AND(LEFT($G90,5)="Mover",$H90=""),"Falta a equipe destino",IF(AND(LEFT($G90,5)="Mover",$H90=$A90),"Já está nesta equipe",IF(AND(LEFT($G90,5)="Mover",COUNTIF(EQUIPES!$C$2:$C$300,$H90)=0),"Equipe destino não existe",IF(AND($G90="Mudar status",$I90=""),"Falta o novo status",IF(AND($G90="Mudar status",OR(AND($K90&lt;&gt;"",$J90=""),AND($K90="",$J90&lt;&gt;""))),"Preencha A partir de e Até",IF(AND($G90&lt;&gt;"Mudar status",$K90&lt;&gt;"",$K90&gt;TODAY()),"Data futura: o sistema aplica na hora","Pronto para enviar")))))))</f>
        <v/>
      </c>
    </row>
    <row r="91" ht="24" customHeight="1" spans="1:13">
      <c r="A91" s="4"/>
      <c r="B91" s="13"/>
      <c r="C91" s="13"/>
      <c r="D91" s="4"/>
      <c r="E91" s="13"/>
      <c r="F91" s="13"/>
      <c r="G91" s="4"/>
      <c r="H91" s="4"/>
      <c r="I91" s="13"/>
      <c r="J91" s="14"/>
      <c r="K91" s="7"/>
      <c r="L91" s="15"/>
      <c r="M91" s="6" t="str">
        <f ca="1" xml:space="preserve">IF($G91="","",IF(AND(LEFT($G91,5)="Mover",$H91=""),"Falta a equipe destino",IF(AND(LEFT($G91,5)="Mover",$H91=$A91),"Já está nesta equipe",IF(AND(LEFT($G91,5)="Mover",COUNTIF(EQUIPES!$C$2:$C$300,$H91)=0),"Equipe destino não existe",IF(AND($G91="Mudar status",$I91=""),"Falta o novo status",IF(AND($G91="Mudar status",OR(AND($K91&lt;&gt;"",$J91=""),AND($K91="",$J91&lt;&gt;""))),"Preencha A partir de e Até",IF(AND($G91&lt;&gt;"Mudar status",$K91&lt;&gt;"",$K91&gt;TODAY()),"Data futura: o sistema aplica na hora","Pronto para enviar")))))))</f>
        <v/>
      </c>
    </row>
    <row r="92" ht="24" customHeight="1" spans="1:13">
      <c r="A92" s="4"/>
      <c r="B92" s="13"/>
      <c r="C92" s="13"/>
      <c r="D92" s="4"/>
      <c r="E92" s="13"/>
      <c r="F92" s="13"/>
      <c r="G92" s="4"/>
      <c r="H92" s="4"/>
      <c r="I92" s="13"/>
      <c r="J92" s="14"/>
      <c r="K92" s="7"/>
      <c r="L92" s="15"/>
      <c r="M92" s="6" t="str">
        <f ca="1" xml:space="preserve">IF($G92="","",IF(AND(LEFT($G92,5)="Mover",$H92=""),"Falta a equipe destino",IF(AND(LEFT($G92,5)="Mover",$H92=$A92),"Já está nesta equipe",IF(AND(LEFT($G92,5)="Mover",COUNTIF(EQUIPES!$C$2:$C$300,$H92)=0),"Equipe destino não existe",IF(AND($G92="Mudar status",$I92=""),"Falta o novo status",IF(AND($G92="Mudar status",OR(AND($K92&lt;&gt;"",$J92=""),AND($K92="",$J92&lt;&gt;""))),"Preencha A partir de e Até",IF(AND($G92&lt;&gt;"Mudar status",$K92&lt;&gt;"",$K92&gt;TODAY()),"Data futura: o sistema aplica na hora","Pronto para enviar")))))))</f>
        <v/>
      </c>
    </row>
    <row r="93" ht="24" customHeight="1" spans="1:13">
      <c r="A93" s="4"/>
      <c r="B93" s="13"/>
      <c r="C93" s="13"/>
      <c r="D93" s="4"/>
      <c r="E93" s="13"/>
      <c r="F93" s="13"/>
      <c r="G93" s="4"/>
      <c r="H93" s="4"/>
      <c r="I93" s="13"/>
      <c r="J93" s="14"/>
      <c r="K93" s="7"/>
      <c r="L93" s="15"/>
      <c r="M93" s="6" t="str">
        <f ca="1" xml:space="preserve">IF($G93="","",IF(AND(LEFT($G93,5)="Mover",$H93=""),"Falta a equipe destino",IF(AND(LEFT($G93,5)="Mover",$H93=$A93),"Já está nesta equipe",IF(AND(LEFT($G93,5)="Mover",COUNTIF(EQUIPES!$C$2:$C$300,$H93)=0),"Equipe destino não existe",IF(AND($G93="Mudar status",$I93=""),"Falta o novo status",IF(AND($G93="Mudar status",OR(AND($K93&lt;&gt;"",$J93=""),AND($K93="",$J93&lt;&gt;""))),"Preencha A partir de e Até",IF(AND($G93&lt;&gt;"Mudar status",$K93&lt;&gt;"",$K93&gt;TODAY()),"Data futura: o sistema aplica na hora","Pronto para enviar")))))))</f>
        <v/>
      </c>
    </row>
    <row r="94" ht="24" customHeight="1" spans="1:13">
      <c r="A94" s="4"/>
      <c r="B94" s="13"/>
      <c r="C94" s="13"/>
      <c r="D94" s="4"/>
      <c r="E94" s="13"/>
      <c r="F94" s="13"/>
      <c r="G94" s="4"/>
      <c r="H94" s="4"/>
      <c r="I94" s="13"/>
      <c r="J94" s="14"/>
      <c r="K94" s="7"/>
      <c r="L94" s="15"/>
      <c r="M94" s="6" t="str">
        <f ca="1" xml:space="preserve">IF($G94="","",IF(AND(LEFT($G94,5)="Mover",$H94=""),"Falta a equipe destino",IF(AND(LEFT($G94,5)="Mover",$H94=$A94),"Já está nesta equipe",IF(AND(LEFT($G94,5)="Mover",COUNTIF(EQUIPES!$C$2:$C$300,$H94)=0),"Equipe destino não existe",IF(AND($G94="Mudar status",$I94=""),"Falta o novo status",IF(AND($G94="Mudar status",OR(AND($K94&lt;&gt;"",$J94=""),AND($K94="",$J94&lt;&gt;""))),"Preencha A partir de e Até",IF(AND($G94&lt;&gt;"Mudar status",$K94&lt;&gt;"",$K94&gt;TODAY()),"Data futura: o sistema aplica na hora","Pronto para enviar")))))))</f>
        <v/>
      </c>
    </row>
    <row r="95" ht="24" customHeight="1" spans="1:13">
      <c r="A95" s="4"/>
      <c r="B95" s="13"/>
      <c r="C95" s="13"/>
      <c r="D95" s="4"/>
      <c r="E95" s="13"/>
      <c r="F95" s="13"/>
      <c r="G95" s="4"/>
      <c r="H95" s="4"/>
      <c r="I95" s="13"/>
      <c r="J95" s="14"/>
      <c r="K95" s="7"/>
      <c r="L95" s="15"/>
      <c r="M95" s="6" t="str">
        <f ca="1" xml:space="preserve">IF($G95="","",IF(AND(LEFT($G95,5)="Mover",$H95=""),"Falta a equipe destino",IF(AND(LEFT($G95,5)="Mover",$H95=$A95),"Já está nesta equipe",IF(AND(LEFT($G95,5)="Mover",COUNTIF(EQUIPES!$C$2:$C$300,$H95)=0),"Equipe destino não existe",IF(AND($G95="Mudar status",$I95=""),"Falta o novo status",IF(AND($G95="Mudar status",OR(AND($K95&lt;&gt;"",$J95=""),AND($K95="",$J95&lt;&gt;""))),"Preencha A partir de e Até",IF(AND($G95&lt;&gt;"Mudar status",$K95&lt;&gt;"",$K95&gt;TODAY()),"Data futura: o sistema aplica na hora","Pronto para enviar")))))))</f>
        <v/>
      </c>
    </row>
    <row r="96" ht="24" customHeight="1" spans="1:13">
      <c r="A96" s="4"/>
      <c r="B96" s="13"/>
      <c r="C96" s="13"/>
      <c r="D96" s="4"/>
      <c r="E96" s="13"/>
      <c r="F96" s="13"/>
      <c r="G96" s="4"/>
      <c r="H96" s="4"/>
      <c r="I96" s="13"/>
      <c r="J96" s="14"/>
      <c r="K96" s="7"/>
      <c r="L96" s="15"/>
      <c r="M96" s="6" t="str">
        <f ca="1" xml:space="preserve">IF($G96="","",IF(AND(LEFT($G96,5)="Mover",$H96=""),"Falta a equipe destino",IF(AND(LEFT($G96,5)="Mover",$H96=$A96),"Já está nesta equipe",IF(AND(LEFT($G96,5)="Mover",COUNTIF(EQUIPES!$C$2:$C$300,$H96)=0),"Equipe destino não existe",IF(AND($G96="Mudar status",$I96=""),"Falta o novo status",IF(AND($G96="Mudar status",OR(AND($K96&lt;&gt;"",$J96=""),AND($K96="",$J96&lt;&gt;""))),"Preencha A partir de e Até",IF(AND($G96&lt;&gt;"Mudar status",$K96&lt;&gt;"",$K96&gt;TODAY()),"Data futura: o sistema aplica na hora","Pronto para enviar")))))))</f>
        <v/>
      </c>
    </row>
    <row r="97" ht="24" customHeight="1" spans="1:13">
      <c r="A97" s="4"/>
      <c r="B97" s="13"/>
      <c r="C97" s="13"/>
      <c r="D97" s="4"/>
      <c r="E97" s="13"/>
      <c r="F97" s="13"/>
      <c r="G97" s="4"/>
      <c r="H97" s="4"/>
      <c r="I97" s="13"/>
      <c r="J97" s="14"/>
      <c r="K97" s="7"/>
      <c r="L97" s="15"/>
      <c r="M97" s="6" t="str">
        <f ca="1" xml:space="preserve">IF($G97="","",IF(AND(LEFT($G97,5)="Mover",$H97=""),"Falta a equipe destino",IF(AND(LEFT($G97,5)="Mover",$H97=$A97),"Já está nesta equipe",IF(AND(LEFT($G97,5)="Mover",COUNTIF(EQUIPES!$C$2:$C$300,$H97)=0),"Equipe destino não existe",IF(AND($G97="Mudar status",$I97=""),"Falta o novo status",IF(AND($G97="Mudar status",OR(AND($K97&lt;&gt;"",$J97=""),AND($K97="",$J97&lt;&gt;""))),"Preencha A partir de e Até",IF(AND($G97&lt;&gt;"Mudar status",$K97&lt;&gt;"",$K97&gt;TODAY()),"Data futura: o sistema aplica na hora","Pronto para enviar")))))))</f>
        <v/>
      </c>
    </row>
    <row r="98" ht="24" customHeight="1" spans="1:13">
      <c r="A98" s="4"/>
      <c r="B98" s="13"/>
      <c r="C98" s="13"/>
      <c r="D98" s="4"/>
      <c r="E98" s="13"/>
      <c r="F98" s="13"/>
      <c r="G98" s="4"/>
      <c r="H98" s="4"/>
      <c r="I98" s="13"/>
      <c r="J98" s="14"/>
      <c r="K98" s="7"/>
      <c r="L98" s="15"/>
      <c r="M98" s="6" t="str">
        <f ca="1" xml:space="preserve">IF($G98="","",IF(AND(LEFT($G98,5)="Mover",$H98=""),"Falta a equipe destino",IF(AND(LEFT($G98,5)="Mover",$H98=$A98),"Já está nesta equipe",IF(AND(LEFT($G98,5)="Mover",COUNTIF(EQUIPES!$C$2:$C$300,$H98)=0),"Equipe destino não existe",IF(AND($G98="Mudar status",$I98=""),"Falta o novo status",IF(AND($G98="Mudar status",OR(AND($K98&lt;&gt;"",$J98=""),AND($K98="",$J98&lt;&gt;""))),"Preencha A partir de e Até",IF(AND($G98&lt;&gt;"Mudar status",$K98&lt;&gt;"",$K98&gt;TODAY()),"Data futura: o sistema aplica na hora","Pronto para enviar")))))))</f>
        <v/>
      </c>
    </row>
    <row r="99" ht="24" customHeight="1" spans="1:13">
      <c r="A99" s="4"/>
      <c r="B99" s="13"/>
      <c r="C99" s="13"/>
      <c r="D99" s="4"/>
      <c r="E99" s="13"/>
      <c r="F99" s="13"/>
      <c r="G99" s="4"/>
      <c r="H99" s="4"/>
      <c r="I99" s="13"/>
      <c r="J99" s="14"/>
      <c r="K99" s="7"/>
      <c r="L99" s="15"/>
      <c r="M99" s="6" t="str">
        <f ca="1" xml:space="preserve">IF($G99="","",IF(AND(LEFT($G99,5)="Mover",$H99=""),"Falta a equipe destino",IF(AND(LEFT($G99,5)="Mover",$H99=$A99),"Já está nesta equipe",IF(AND(LEFT($G99,5)="Mover",COUNTIF(EQUIPES!$C$2:$C$300,$H99)=0),"Equipe destino não existe",IF(AND($G99="Mudar status",$I99=""),"Falta o novo status",IF(AND($G99="Mudar status",OR(AND($K99&lt;&gt;"",$J99=""),AND($K99="",$J99&lt;&gt;""))),"Preencha A partir de e Até",IF(AND($G99&lt;&gt;"Mudar status",$K99&lt;&gt;"",$K99&gt;TODAY()),"Data futura: o sistema aplica na hora","Pronto para enviar")))))))</f>
        <v/>
      </c>
    </row>
    <row r="100" ht="24" customHeight="1" spans="1:13">
      <c r="A100" s="4"/>
      <c r="B100" s="13"/>
      <c r="C100" s="13"/>
      <c r="D100" s="4"/>
      <c r="E100" s="13"/>
      <c r="F100" s="13"/>
      <c r="G100" s="4"/>
      <c r="H100" s="4"/>
      <c r="I100" s="13"/>
      <c r="J100" s="14"/>
      <c r="K100" s="7"/>
      <c r="L100" s="15"/>
      <c r="M100" s="6" t="str">
        <f ca="1" xml:space="preserve">IF($G100="","",IF(AND(LEFT($G100,5)="Mover",$H100=""),"Falta a equipe destino",IF(AND(LEFT($G100,5)="Mover",$H100=$A100),"Já está nesta equipe",IF(AND(LEFT($G100,5)="Mover",COUNTIF(EQUIPES!$C$2:$C$300,$H100)=0),"Equipe destino não existe",IF(AND($G100="Mudar status",$I100=""),"Falta o novo status",IF(AND($G100="Mudar status",OR(AND($K100&lt;&gt;"",$J100=""),AND($K100="",$J100&lt;&gt;""))),"Preencha A partir de e Até",IF(AND($G100&lt;&gt;"Mudar status",$K100&lt;&gt;"",$K100&gt;TODAY()),"Data futura: o sistema aplica na hora","Pronto para enviar")))))))</f>
        <v/>
      </c>
    </row>
    <row r="101" ht="24" customHeight="1" spans="1:13">
      <c r="A101" s="4"/>
      <c r="B101" s="13"/>
      <c r="C101" s="13"/>
      <c r="D101" s="4"/>
      <c r="E101" s="13"/>
      <c r="F101" s="13"/>
      <c r="G101" s="4"/>
      <c r="H101" s="4"/>
      <c r="I101" s="13"/>
      <c r="J101" s="14"/>
      <c r="K101" s="7"/>
      <c r="L101" s="15"/>
      <c r="M101" s="6" t="str">
        <f ca="1" xml:space="preserve">IF($G101="","",IF(AND(LEFT($G101,5)="Mover",$H101=""),"Falta a equipe destino",IF(AND(LEFT($G101,5)="Mover",$H101=$A101),"Já está nesta equipe",IF(AND(LEFT($G101,5)="Mover",COUNTIF(EQUIPES!$C$2:$C$300,$H101)=0),"Equipe destino não existe",IF(AND($G101="Mudar status",$I101=""),"Falta o novo status",IF(AND($G101="Mudar status",OR(AND($K101&lt;&gt;"",$J101=""),AND($K101="",$J101&lt;&gt;""))),"Preencha A partir de e Até",IF(AND($G101&lt;&gt;"Mudar status",$K101&lt;&gt;"",$K101&gt;TODAY()),"Data futura: o sistema aplica na hora","Pronto para enviar")))))))</f>
        <v/>
      </c>
    </row>
    <row r="102" ht="24" customHeight="1" spans="1:13">
      <c r="A102" s="4"/>
      <c r="B102" s="13"/>
      <c r="C102" s="13"/>
      <c r="D102" s="4"/>
      <c r="E102" s="13"/>
      <c r="F102" s="13"/>
      <c r="G102" s="4"/>
      <c r="H102" s="4"/>
      <c r="I102" s="13"/>
      <c r="J102" s="14"/>
      <c r="K102" s="7"/>
      <c r="L102" s="15"/>
      <c r="M102" s="6" t="str">
        <f ca="1" xml:space="preserve">IF($G102="","",IF(AND(LEFT($G102,5)="Mover",$H102=""),"Falta a equipe destino",IF(AND(LEFT($G102,5)="Mover",$H102=$A102),"Já está nesta equipe",IF(AND(LEFT($G102,5)="Mover",COUNTIF(EQUIPES!$C$2:$C$300,$H102)=0),"Equipe destino não existe",IF(AND($G102="Mudar status",$I102=""),"Falta o novo status",IF(AND($G102="Mudar status",OR(AND($K102&lt;&gt;"",$J102=""),AND($K102="",$J102&lt;&gt;""))),"Preencha A partir de e Até",IF(AND($G102&lt;&gt;"Mudar status",$K102&lt;&gt;"",$K102&gt;TODAY()),"Data futura: o sistema aplica na hora","Pronto para enviar")))))))</f>
        <v/>
      </c>
    </row>
    <row r="103" ht="24" customHeight="1" spans="1:13">
      <c r="A103" s="4"/>
      <c r="B103" s="13"/>
      <c r="C103" s="13"/>
      <c r="D103" s="4"/>
      <c r="E103" s="13"/>
      <c r="F103" s="13"/>
      <c r="G103" s="4"/>
      <c r="H103" s="4"/>
      <c r="I103" s="13"/>
      <c r="J103" s="14"/>
      <c r="K103" s="7"/>
      <c r="L103" s="15"/>
      <c r="M103" s="6" t="str">
        <f ca="1" xml:space="preserve">IF($G103="","",IF(AND(LEFT($G103,5)="Mover",$H103=""),"Falta a equipe destino",IF(AND(LEFT($G103,5)="Mover",$H103=$A103),"Já está nesta equipe",IF(AND(LEFT($G103,5)="Mover",COUNTIF(EQUIPES!$C$2:$C$300,$H103)=0),"Equipe destino não existe",IF(AND($G103="Mudar status",$I103=""),"Falta o novo status",IF(AND($G103="Mudar status",OR(AND($K103&lt;&gt;"",$J103=""),AND($K103="",$J103&lt;&gt;""))),"Preencha A partir de e Até",IF(AND($G103&lt;&gt;"Mudar status",$K103&lt;&gt;"",$K103&gt;TODAY()),"Data futura: o sistema aplica na hora","Pronto para enviar")))))))</f>
        <v/>
      </c>
    </row>
    <row r="104" ht="24" customHeight="1" spans="1:13">
      <c r="A104" s="4"/>
      <c r="B104" s="13"/>
      <c r="C104" s="13"/>
      <c r="D104" s="4"/>
      <c r="E104" s="13"/>
      <c r="F104" s="13"/>
      <c r="G104" s="4"/>
      <c r="H104" s="4"/>
      <c r="I104" s="13"/>
      <c r="J104" s="14"/>
      <c r="K104" s="7"/>
      <c r="L104" s="15"/>
      <c r="M104" s="6" t="str">
        <f ca="1" xml:space="preserve">IF($G104="","",IF(AND(LEFT($G104,5)="Mover",$H104=""),"Falta a equipe destino",IF(AND(LEFT($G104,5)="Mover",$H104=$A104),"Já está nesta equipe",IF(AND(LEFT($G104,5)="Mover",COUNTIF(EQUIPES!$C$2:$C$300,$H104)=0),"Equipe destino não existe",IF(AND($G104="Mudar status",$I104=""),"Falta o novo status",IF(AND($G104="Mudar status",OR(AND($K104&lt;&gt;"",$J104=""),AND($K104="",$J104&lt;&gt;""))),"Preencha A partir de e Até",IF(AND($G104&lt;&gt;"Mudar status",$K104&lt;&gt;"",$K104&gt;TODAY()),"Data futura: o sistema aplica na hora","Pronto para enviar")))))))</f>
        <v/>
      </c>
    </row>
    <row r="105" ht="24" customHeight="1" spans="1:13">
      <c r="A105" s="4"/>
      <c r="B105" s="13"/>
      <c r="C105" s="13"/>
      <c r="D105" s="4"/>
      <c r="E105" s="13"/>
      <c r="F105" s="13"/>
      <c r="G105" s="4"/>
      <c r="H105" s="4"/>
      <c r="I105" s="13"/>
      <c r="J105" s="14"/>
      <c r="K105" s="7"/>
      <c r="L105" s="15"/>
      <c r="M105" s="6" t="str">
        <f ca="1" xml:space="preserve">IF($G105="","",IF(AND(LEFT($G105,5)="Mover",$H105=""),"Falta a equipe destino",IF(AND(LEFT($G105,5)="Mover",$H105=$A105),"Já está nesta equipe",IF(AND(LEFT($G105,5)="Mover",COUNTIF(EQUIPES!$C$2:$C$300,$H105)=0),"Equipe destino não existe",IF(AND($G105="Mudar status",$I105=""),"Falta o novo status",IF(AND($G105="Mudar status",OR(AND($K105&lt;&gt;"",$J105=""),AND($K105="",$J105&lt;&gt;""))),"Preencha A partir de e Até",IF(AND($G105&lt;&gt;"Mudar status",$K105&lt;&gt;"",$K105&gt;TODAY()),"Data futura: o sistema aplica na hora","Pronto para enviar")))))))</f>
        <v/>
      </c>
    </row>
    <row r="106" ht="24" customHeight="1" spans="1:13">
      <c r="A106" s="4"/>
      <c r="B106" s="13"/>
      <c r="C106" s="13"/>
      <c r="D106" s="4"/>
      <c r="E106" s="13"/>
      <c r="F106" s="13"/>
      <c r="G106" s="4"/>
      <c r="H106" s="4"/>
      <c r="I106" s="13"/>
      <c r="J106" s="14"/>
      <c r="K106" s="7"/>
      <c r="L106" s="15"/>
      <c r="M106" s="6" t="str">
        <f ca="1" xml:space="preserve">IF($G106="","",IF(AND(LEFT($G106,5)="Mover",$H106=""),"Falta a equipe destino",IF(AND(LEFT($G106,5)="Mover",$H106=$A106),"Já está nesta equipe",IF(AND(LEFT($G106,5)="Mover",COUNTIF(EQUIPES!$C$2:$C$300,$H106)=0),"Equipe destino não existe",IF(AND($G106="Mudar status",$I106=""),"Falta o novo status",IF(AND($G106="Mudar status",OR(AND($K106&lt;&gt;"",$J106=""),AND($K106="",$J106&lt;&gt;""))),"Preencha A partir de e Até",IF(AND($G106&lt;&gt;"Mudar status",$K106&lt;&gt;"",$K106&gt;TODAY()),"Data futura: o sistema aplica na hora","Pronto para enviar")))))))</f>
        <v/>
      </c>
    </row>
    <row r="107" ht="24" customHeight="1" spans="1:13">
      <c r="A107" s="4"/>
      <c r="B107" s="13"/>
      <c r="C107" s="13"/>
      <c r="D107" s="4"/>
      <c r="E107" s="13"/>
      <c r="F107" s="13"/>
      <c r="G107" s="4"/>
      <c r="H107" s="4"/>
      <c r="I107" s="13"/>
      <c r="J107" s="14"/>
      <c r="K107" s="7"/>
      <c r="L107" s="15"/>
      <c r="M107" s="6" t="str">
        <f ca="1" xml:space="preserve">IF($G107="","",IF(AND(LEFT($G107,5)="Mover",$H107=""),"Falta a equipe destino",IF(AND(LEFT($G107,5)="Mover",$H107=$A107),"Já está nesta equipe",IF(AND(LEFT($G107,5)="Mover",COUNTIF(EQUIPES!$C$2:$C$300,$H107)=0),"Equipe destino não existe",IF(AND($G107="Mudar status",$I107=""),"Falta o novo status",IF(AND($G107="Mudar status",OR(AND($K107&lt;&gt;"",$J107=""),AND($K107="",$J107&lt;&gt;""))),"Preencha A partir de e Até",IF(AND($G107&lt;&gt;"Mudar status",$K107&lt;&gt;"",$K107&gt;TODAY()),"Data futura: o sistema aplica na hora","Pronto para enviar")))))))</f>
        <v/>
      </c>
    </row>
    <row r="108" ht="24" customHeight="1" spans="1:13">
      <c r="A108" s="4"/>
      <c r="B108" s="13"/>
      <c r="C108" s="13"/>
      <c r="D108" s="4"/>
      <c r="E108" s="13"/>
      <c r="F108" s="13"/>
      <c r="G108" s="4"/>
      <c r="H108" s="4"/>
      <c r="I108" s="13"/>
      <c r="J108" s="14"/>
      <c r="K108" s="7"/>
      <c r="L108" s="15"/>
      <c r="M108" s="6" t="str">
        <f ca="1" xml:space="preserve">IF($G108="","",IF(AND(LEFT($G108,5)="Mover",$H108=""),"Falta a equipe destino",IF(AND(LEFT($G108,5)="Mover",$H108=$A108),"Já está nesta equipe",IF(AND(LEFT($G108,5)="Mover",COUNTIF(EQUIPES!$C$2:$C$300,$H108)=0),"Equipe destino não existe",IF(AND($G108="Mudar status",$I108=""),"Falta o novo status",IF(AND($G108="Mudar status",OR(AND($K108&lt;&gt;"",$J108=""),AND($K108="",$J108&lt;&gt;""))),"Preencha A partir de e Até",IF(AND($G108&lt;&gt;"Mudar status",$K108&lt;&gt;"",$K108&gt;TODAY()),"Data futura: o sistema aplica na hora","Pronto para enviar")))))))</f>
        <v/>
      </c>
    </row>
    <row r="109" ht="24" customHeight="1" spans="1:13">
      <c r="A109" s="4"/>
      <c r="B109" s="13"/>
      <c r="C109" s="13"/>
      <c r="D109" s="4"/>
      <c r="E109" s="13"/>
      <c r="F109" s="13"/>
      <c r="G109" s="4"/>
      <c r="H109" s="4"/>
      <c r="I109" s="13"/>
      <c r="J109" s="14"/>
      <c r="K109" s="7"/>
      <c r="L109" s="15"/>
      <c r="M109" s="6" t="str">
        <f ca="1" xml:space="preserve">IF($G109="","",IF(AND(LEFT($G109,5)="Mover",$H109=""),"Falta a equipe destino",IF(AND(LEFT($G109,5)="Mover",$H109=$A109),"Já está nesta equipe",IF(AND(LEFT($G109,5)="Mover",COUNTIF(EQUIPES!$C$2:$C$300,$H109)=0),"Equipe destino não existe",IF(AND($G109="Mudar status",$I109=""),"Falta o novo status",IF(AND($G109="Mudar status",OR(AND($K109&lt;&gt;"",$J109=""),AND($K109="",$J109&lt;&gt;""))),"Preencha A partir de e Até",IF(AND($G109&lt;&gt;"Mudar status",$K109&lt;&gt;"",$K109&gt;TODAY()),"Data futura: o sistema aplica na hora","Pronto para enviar")))))))</f>
        <v/>
      </c>
    </row>
    <row r="110" ht="24" customHeight="1" spans="1:13">
      <c r="A110" s="4"/>
      <c r="B110" s="13"/>
      <c r="C110" s="13"/>
      <c r="D110" s="4"/>
      <c r="E110" s="13"/>
      <c r="F110" s="13"/>
      <c r="G110" s="4"/>
      <c r="H110" s="4"/>
      <c r="I110" s="13"/>
      <c r="J110" s="14"/>
      <c r="K110" s="7"/>
      <c r="L110" s="15"/>
      <c r="M110" s="6" t="str">
        <f ca="1" xml:space="preserve">IF($G110="","",IF(AND(LEFT($G110,5)="Mover",$H110=""),"Falta a equipe destino",IF(AND(LEFT($G110,5)="Mover",$H110=$A110),"Já está nesta equipe",IF(AND(LEFT($G110,5)="Mover",COUNTIF(EQUIPES!$C$2:$C$300,$H110)=0),"Equipe destino não existe",IF(AND($G110="Mudar status",$I110=""),"Falta o novo status",IF(AND($G110="Mudar status",OR(AND($K110&lt;&gt;"",$J110=""),AND($K110="",$J110&lt;&gt;""))),"Preencha A partir de e Até",IF(AND($G110&lt;&gt;"Mudar status",$K110&lt;&gt;"",$K110&gt;TODAY()),"Data futura: o sistema aplica na hora","Pronto para enviar")))))))</f>
        <v/>
      </c>
    </row>
    <row r="111" ht="24" customHeight="1" spans="1:13">
      <c r="A111" s="4"/>
      <c r="B111" s="13"/>
      <c r="C111" s="13"/>
      <c r="D111" s="4"/>
      <c r="E111" s="13"/>
      <c r="F111" s="13"/>
      <c r="G111" s="4"/>
      <c r="H111" s="4"/>
      <c r="I111" s="13"/>
      <c r="J111" s="14"/>
      <c r="K111" s="7"/>
      <c r="L111" s="15"/>
      <c r="M111" s="6" t="str">
        <f ca="1" xml:space="preserve">IF($G111="","",IF(AND(LEFT($G111,5)="Mover",$H111=""),"Falta a equipe destino",IF(AND(LEFT($G111,5)="Mover",$H111=$A111),"Já está nesta equipe",IF(AND(LEFT($G111,5)="Mover",COUNTIF(EQUIPES!$C$2:$C$300,$H111)=0),"Equipe destino não existe",IF(AND($G111="Mudar status",$I111=""),"Falta o novo status",IF(AND($G111="Mudar status",OR(AND($K111&lt;&gt;"",$J111=""),AND($K111="",$J111&lt;&gt;""))),"Preencha A partir de e Até",IF(AND($G111&lt;&gt;"Mudar status",$K111&lt;&gt;"",$K111&gt;TODAY()),"Data futura: o sistema aplica na hora","Pronto para enviar")))))))</f>
        <v/>
      </c>
    </row>
    <row r="112" ht="24" customHeight="1" spans="1:13">
      <c r="A112" s="4"/>
      <c r="B112" s="13"/>
      <c r="C112" s="13"/>
      <c r="D112" s="4"/>
      <c r="E112" s="13"/>
      <c r="F112" s="13"/>
      <c r="G112" s="4"/>
      <c r="H112" s="4"/>
      <c r="I112" s="13"/>
      <c r="J112" s="14"/>
      <c r="K112" s="7"/>
      <c r="L112" s="15"/>
      <c r="M112" s="6" t="str">
        <f ca="1" xml:space="preserve">IF($G112="","",IF(AND(LEFT($G112,5)="Mover",$H112=""),"Falta a equipe destino",IF(AND(LEFT($G112,5)="Mover",$H112=$A112),"Já está nesta equipe",IF(AND(LEFT($G112,5)="Mover",COUNTIF(EQUIPES!$C$2:$C$300,$H112)=0),"Equipe destino não existe",IF(AND($G112="Mudar status",$I112=""),"Falta o novo status",IF(AND($G112="Mudar status",OR(AND($K112&lt;&gt;"",$J112=""),AND($K112="",$J112&lt;&gt;""))),"Preencha A partir de e Até",IF(AND($G112&lt;&gt;"Mudar status",$K112&lt;&gt;"",$K112&gt;TODAY()),"Data futura: o sistema aplica na hora","Pronto para enviar")))))))</f>
        <v/>
      </c>
    </row>
    <row r="113" ht="24" customHeight="1" spans="1:13">
      <c r="A113" s="4"/>
      <c r="B113" s="13"/>
      <c r="C113" s="13"/>
      <c r="D113" s="4"/>
      <c r="E113" s="13"/>
      <c r="F113" s="13"/>
      <c r="G113" s="4"/>
      <c r="H113" s="4"/>
      <c r="I113" s="13"/>
      <c r="J113" s="14"/>
      <c r="K113" s="7"/>
      <c r="L113" s="15"/>
      <c r="M113" s="6" t="str">
        <f ca="1" xml:space="preserve">IF($G113="","",IF(AND(LEFT($G113,5)="Mover",$H113=""),"Falta a equipe destino",IF(AND(LEFT($G113,5)="Mover",$H113=$A113),"Já está nesta equipe",IF(AND(LEFT($G113,5)="Mover",COUNTIF(EQUIPES!$C$2:$C$300,$H113)=0),"Equipe destino não existe",IF(AND($G113="Mudar status",$I113=""),"Falta o novo status",IF(AND($G113="Mudar status",OR(AND($K113&lt;&gt;"",$J113=""),AND($K113="",$J113&lt;&gt;""))),"Preencha A partir de e Até",IF(AND($G113&lt;&gt;"Mudar status",$K113&lt;&gt;"",$K113&gt;TODAY()),"Data futura: o sistema aplica na hora","Pronto para enviar")))))))</f>
        <v/>
      </c>
    </row>
    <row r="114" ht="24" customHeight="1" spans="1:13">
      <c r="A114" s="4"/>
      <c r="B114" s="13"/>
      <c r="C114" s="13"/>
      <c r="D114" s="4"/>
      <c r="E114" s="13"/>
      <c r="F114" s="13"/>
      <c r="G114" s="4"/>
      <c r="H114" s="4"/>
      <c r="I114" s="13"/>
      <c r="J114" s="14"/>
      <c r="K114" s="7"/>
      <c r="L114" s="15"/>
      <c r="M114" s="6" t="str">
        <f ca="1" xml:space="preserve">IF($G114="","",IF(AND(LEFT($G114,5)="Mover",$H114=""),"Falta a equipe destino",IF(AND(LEFT($G114,5)="Mover",$H114=$A114),"Já está nesta equipe",IF(AND(LEFT($G114,5)="Mover",COUNTIF(EQUIPES!$C$2:$C$300,$H114)=0),"Equipe destino não existe",IF(AND($G114="Mudar status",$I114=""),"Falta o novo status",IF(AND($G114="Mudar status",OR(AND($K114&lt;&gt;"",$J114=""),AND($K114="",$J114&lt;&gt;""))),"Preencha A partir de e Até",IF(AND($G114&lt;&gt;"Mudar status",$K114&lt;&gt;"",$K114&gt;TODAY()),"Data futura: o sistema aplica na hora","Pronto para enviar")))))))</f>
        <v/>
      </c>
    </row>
    <row r="115" ht="24" customHeight="1" spans="1:13">
      <c r="A115" s="4"/>
      <c r="B115" s="13"/>
      <c r="C115" s="13"/>
      <c r="D115" s="4"/>
      <c r="E115" s="13"/>
      <c r="F115" s="13"/>
      <c r="G115" s="4"/>
      <c r="H115" s="4"/>
      <c r="I115" s="13"/>
      <c r="J115" s="14"/>
      <c r="K115" s="7"/>
      <c r="L115" s="15"/>
      <c r="M115" s="6" t="str">
        <f ca="1" xml:space="preserve">IF($G115="","",IF(AND(LEFT($G115,5)="Mover",$H115=""),"Falta a equipe destino",IF(AND(LEFT($G115,5)="Mover",$H115=$A115),"Já está nesta equipe",IF(AND(LEFT($G115,5)="Mover",COUNTIF(EQUIPES!$C$2:$C$300,$H115)=0),"Equipe destino não existe",IF(AND($G115="Mudar status",$I115=""),"Falta o novo status",IF(AND($G115="Mudar status",OR(AND($K115&lt;&gt;"",$J115=""),AND($K115="",$J115&lt;&gt;""))),"Preencha A partir de e Até",IF(AND($G115&lt;&gt;"Mudar status",$K115&lt;&gt;"",$K115&gt;TODAY()),"Data futura: o sistema aplica na hora","Pronto para enviar")))))))</f>
        <v/>
      </c>
    </row>
    <row r="116" ht="24" customHeight="1" spans="1:13">
      <c r="A116" s="4"/>
      <c r="B116" s="13"/>
      <c r="C116" s="13"/>
      <c r="D116" s="4"/>
      <c r="E116" s="13"/>
      <c r="F116" s="13"/>
      <c r="G116" s="4"/>
      <c r="H116" s="4"/>
      <c r="I116" s="13"/>
      <c r="J116" s="14"/>
      <c r="K116" s="7"/>
      <c r="L116" s="15"/>
      <c r="M116" s="6" t="str">
        <f ca="1" xml:space="preserve">IF($G116="","",IF(AND(LEFT($G116,5)="Mover",$H116=""),"Falta a equipe destino",IF(AND(LEFT($G116,5)="Mover",$H116=$A116),"Já está nesta equipe",IF(AND(LEFT($G116,5)="Mover",COUNTIF(EQUIPES!$C$2:$C$300,$H116)=0),"Equipe destino não existe",IF(AND($G116="Mudar status",$I116=""),"Falta o novo status",IF(AND($G116="Mudar status",OR(AND($K116&lt;&gt;"",$J116=""),AND($K116="",$J116&lt;&gt;""))),"Preencha A partir de e Até",IF(AND($G116&lt;&gt;"Mudar status",$K116&lt;&gt;"",$K116&gt;TODAY()),"Data futura: o sistema aplica na hora","Pronto para enviar")))))))</f>
        <v/>
      </c>
    </row>
    <row r="117" ht="24" customHeight="1" spans="1:13">
      <c r="A117" s="4"/>
      <c r="B117" s="13"/>
      <c r="C117" s="13"/>
      <c r="D117" s="4"/>
      <c r="E117" s="13"/>
      <c r="F117" s="13"/>
      <c r="G117" s="4"/>
      <c r="H117" s="4"/>
      <c r="I117" s="13"/>
      <c r="J117" s="14"/>
      <c r="K117" s="7"/>
      <c r="L117" s="15"/>
      <c r="M117" s="6" t="str">
        <f ca="1" xml:space="preserve">IF($G117="","",IF(AND(LEFT($G117,5)="Mover",$H117=""),"Falta a equipe destino",IF(AND(LEFT($G117,5)="Mover",$H117=$A117),"Já está nesta equipe",IF(AND(LEFT($G117,5)="Mover",COUNTIF(EQUIPES!$C$2:$C$300,$H117)=0),"Equipe destino não existe",IF(AND($G117="Mudar status",$I117=""),"Falta o novo status",IF(AND($G117="Mudar status",OR(AND($K117&lt;&gt;"",$J117=""),AND($K117="",$J117&lt;&gt;""))),"Preencha A partir de e Até",IF(AND($G117&lt;&gt;"Mudar status",$K117&lt;&gt;"",$K117&gt;TODAY()),"Data futura: o sistema aplica na hora","Pronto para enviar")))))))</f>
        <v/>
      </c>
    </row>
    <row r="118" ht="24" customHeight="1" spans="1:13">
      <c r="A118" s="4"/>
      <c r="B118" s="13"/>
      <c r="C118" s="13"/>
      <c r="D118" s="4"/>
      <c r="E118" s="13"/>
      <c r="F118" s="13"/>
      <c r="G118" s="4"/>
      <c r="H118" s="4"/>
      <c r="I118" s="13"/>
      <c r="J118" s="14"/>
      <c r="K118" s="7"/>
      <c r="L118" s="15"/>
      <c r="M118" s="6" t="str">
        <f ca="1" xml:space="preserve">IF($G118="","",IF(AND(LEFT($G118,5)="Mover",$H118=""),"Falta a equipe destino",IF(AND(LEFT($G118,5)="Mover",$H118=$A118),"Já está nesta equipe",IF(AND(LEFT($G118,5)="Mover",COUNTIF(EQUIPES!$C$2:$C$300,$H118)=0),"Equipe destino não existe",IF(AND($G118="Mudar status",$I118=""),"Falta o novo status",IF(AND($G118="Mudar status",OR(AND($K118&lt;&gt;"",$J118=""),AND($K118="",$J118&lt;&gt;""))),"Preencha A partir de e Até",IF(AND($G118&lt;&gt;"Mudar status",$K118&lt;&gt;"",$K118&gt;TODAY()),"Data futura: o sistema aplica na hora","Pronto para enviar")))))))</f>
        <v/>
      </c>
    </row>
    <row r="119" ht="24" customHeight="1" spans="1:13">
      <c r="A119" s="4"/>
      <c r="B119" s="13"/>
      <c r="C119" s="13"/>
      <c r="D119" s="4"/>
      <c r="E119" s="13"/>
      <c r="F119" s="13"/>
      <c r="G119" s="4"/>
      <c r="H119" s="4"/>
      <c r="I119" s="13"/>
      <c r="J119" s="14"/>
      <c r="K119" s="7"/>
      <c r="L119" s="15"/>
      <c r="M119" s="6" t="str">
        <f ca="1" xml:space="preserve">IF($G119="","",IF(AND(LEFT($G119,5)="Mover",$H119=""),"Falta a equipe destino",IF(AND(LEFT($G119,5)="Mover",$H119=$A119),"Já está nesta equipe",IF(AND(LEFT($G119,5)="Mover",COUNTIF(EQUIPES!$C$2:$C$300,$H119)=0),"Equipe destino não existe",IF(AND($G119="Mudar status",$I119=""),"Falta o novo status",IF(AND($G119="Mudar status",OR(AND($K119&lt;&gt;"",$J119=""),AND($K119="",$J119&lt;&gt;""))),"Preencha A partir de e Até",IF(AND($G119&lt;&gt;"Mudar status",$K119&lt;&gt;"",$K119&gt;TODAY()),"Data futura: o sistema aplica na hora","Pronto para enviar")))))))</f>
        <v/>
      </c>
    </row>
    <row r="120" ht="24" customHeight="1" spans="1:13">
      <c r="A120" s="4"/>
      <c r="B120" s="13"/>
      <c r="C120" s="13"/>
      <c r="D120" s="4"/>
      <c r="E120" s="13"/>
      <c r="F120" s="13"/>
      <c r="G120" s="4"/>
      <c r="H120" s="4"/>
      <c r="I120" s="13"/>
      <c r="J120" s="14"/>
      <c r="K120" s="7"/>
      <c r="L120" s="15"/>
      <c r="M120" s="6" t="str">
        <f ca="1" xml:space="preserve">IF($G120="","",IF(AND(LEFT($G120,5)="Mover",$H120=""),"Falta a equipe destino",IF(AND(LEFT($G120,5)="Mover",$H120=$A120),"Já está nesta equipe",IF(AND(LEFT($G120,5)="Mover",COUNTIF(EQUIPES!$C$2:$C$300,$H120)=0),"Equipe destino não existe",IF(AND($G120="Mudar status",$I120=""),"Falta o novo status",IF(AND($G120="Mudar status",OR(AND($K120&lt;&gt;"",$J120=""),AND($K120="",$J120&lt;&gt;""))),"Preencha A partir de e Até",IF(AND($G120&lt;&gt;"Mudar status",$K120&lt;&gt;"",$K120&gt;TODAY()),"Data futura: o sistema aplica na hora","Pronto para enviar")))))))</f>
        <v/>
      </c>
    </row>
    <row r="121" ht="24" customHeight="1" spans="1:13">
      <c r="A121" s="4"/>
      <c r="B121" s="13"/>
      <c r="C121" s="13"/>
      <c r="D121" s="4"/>
      <c r="E121" s="13"/>
      <c r="F121" s="13"/>
      <c r="G121" s="4"/>
      <c r="H121" s="4"/>
      <c r="I121" s="13"/>
      <c r="J121" s="14"/>
      <c r="K121" s="7"/>
      <c r="L121" s="15"/>
      <c r="M121" s="6" t="str">
        <f ca="1" xml:space="preserve">IF($G121="","",IF(AND(LEFT($G121,5)="Mover",$H121=""),"Falta a equipe destino",IF(AND(LEFT($G121,5)="Mover",$H121=$A121),"Já está nesta equipe",IF(AND(LEFT($G121,5)="Mover",COUNTIF(EQUIPES!$C$2:$C$300,$H121)=0),"Equipe destino não existe",IF(AND($G121="Mudar status",$I121=""),"Falta o novo status",IF(AND($G121="Mudar status",OR(AND($K121&lt;&gt;"",$J121=""),AND($K121="",$J121&lt;&gt;""))),"Preencha A partir de e Até",IF(AND($G121&lt;&gt;"Mudar status",$K121&lt;&gt;"",$K121&gt;TODAY()),"Data futura: o sistema aplica na hora","Pronto para enviar")))))))</f>
        <v/>
      </c>
    </row>
    <row r="122" ht="24" customHeight="1" spans="1:13">
      <c r="A122" s="4"/>
      <c r="B122" s="13"/>
      <c r="C122" s="13"/>
      <c r="D122" s="4"/>
      <c r="E122" s="13"/>
      <c r="F122" s="13"/>
      <c r="G122" s="4"/>
      <c r="H122" s="4"/>
      <c r="I122" s="13"/>
      <c r="J122" s="14"/>
      <c r="K122" s="7"/>
      <c r="L122" s="15"/>
      <c r="M122" s="6" t="str">
        <f ca="1" xml:space="preserve">IF($G122="","",IF(AND(LEFT($G122,5)="Mover",$H122=""),"Falta a equipe destino",IF(AND(LEFT($G122,5)="Mover",$H122=$A122),"Já está nesta equipe",IF(AND(LEFT($G122,5)="Mover",COUNTIF(EQUIPES!$C$2:$C$300,$H122)=0),"Equipe destino não existe",IF(AND($G122="Mudar status",$I122=""),"Falta o novo status",IF(AND($G122="Mudar status",OR(AND($K122&lt;&gt;"",$J122=""),AND($K122="",$J122&lt;&gt;""))),"Preencha A partir de e Até",IF(AND($G122&lt;&gt;"Mudar status",$K122&lt;&gt;"",$K122&gt;TODAY()),"Data futura: o sistema aplica na hora","Pronto para enviar")))))))</f>
        <v/>
      </c>
    </row>
    <row r="123" ht="24" customHeight="1" spans="1:13">
      <c r="A123" s="4"/>
      <c r="B123" s="13"/>
      <c r="C123" s="13"/>
      <c r="D123" s="4"/>
      <c r="E123" s="13"/>
      <c r="F123" s="13"/>
      <c r="G123" s="4"/>
      <c r="H123" s="4"/>
      <c r="I123" s="13"/>
      <c r="J123" s="14"/>
      <c r="K123" s="7"/>
      <c r="L123" s="15"/>
      <c r="M123" s="6" t="str">
        <f ca="1" xml:space="preserve">IF($G123="","",IF(AND(LEFT($G123,5)="Mover",$H123=""),"Falta a equipe destino",IF(AND(LEFT($G123,5)="Mover",$H123=$A123),"Já está nesta equipe",IF(AND(LEFT($G123,5)="Mover",COUNTIF(EQUIPES!$C$2:$C$300,$H123)=0),"Equipe destino não existe",IF(AND($G123="Mudar status",$I123=""),"Falta o novo status",IF(AND($G123="Mudar status",OR(AND($K123&lt;&gt;"",$J123=""),AND($K123="",$J123&lt;&gt;""))),"Preencha A partir de e Até",IF(AND($G123&lt;&gt;"Mudar status",$K123&lt;&gt;"",$K123&gt;TODAY()),"Data futura: o sistema aplica na hora","Pronto para enviar")))))))</f>
        <v/>
      </c>
    </row>
    <row r="124" ht="24" customHeight="1" spans="1:13">
      <c r="A124" s="4"/>
      <c r="B124" s="13"/>
      <c r="C124" s="13"/>
      <c r="D124" s="4"/>
      <c r="E124" s="13"/>
      <c r="F124" s="13"/>
      <c r="G124" s="4"/>
      <c r="H124" s="4"/>
      <c r="I124" s="13"/>
      <c r="J124" s="14"/>
      <c r="K124" s="7"/>
      <c r="L124" s="15"/>
      <c r="M124" s="6" t="str">
        <f ca="1" xml:space="preserve">IF($G124="","",IF(AND(LEFT($G124,5)="Mover",$H124=""),"Falta a equipe destino",IF(AND(LEFT($G124,5)="Mover",$H124=$A124),"Já está nesta equipe",IF(AND(LEFT($G124,5)="Mover",COUNTIF(EQUIPES!$C$2:$C$300,$H124)=0),"Equipe destino não existe",IF(AND($G124="Mudar status",$I124=""),"Falta o novo status",IF(AND($G124="Mudar status",OR(AND($K124&lt;&gt;"",$J124=""),AND($K124="",$J124&lt;&gt;""))),"Preencha A partir de e Até",IF(AND($G124&lt;&gt;"Mudar status",$K124&lt;&gt;"",$K124&gt;TODAY()),"Data futura: o sistema aplica na hora","Pronto para enviar")))))))</f>
        <v/>
      </c>
    </row>
    <row r="125" ht="24" customHeight="1" spans="1:13">
      <c r="A125" s="4"/>
      <c r="B125" s="13"/>
      <c r="C125" s="13"/>
      <c r="D125" s="4"/>
      <c r="E125" s="13"/>
      <c r="F125" s="13"/>
      <c r="G125" s="4"/>
      <c r="H125" s="4"/>
      <c r="I125" s="13"/>
      <c r="J125" s="14"/>
      <c r="K125" s="7"/>
      <c r="L125" s="15"/>
      <c r="M125" s="6" t="str">
        <f ca="1" xml:space="preserve">IF($G125="","",IF(AND(LEFT($G125,5)="Mover",$H125=""),"Falta a equipe destino",IF(AND(LEFT($G125,5)="Mover",$H125=$A125),"Já está nesta equipe",IF(AND(LEFT($G125,5)="Mover",COUNTIF(EQUIPES!$C$2:$C$300,$H125)=0),"Equipe destino não existe",IF(AND($G125="Mudar status",$I125=""),"Falta o novo status",IF(AND($G125="Mudar status",OR(AND($K125&lt;&gt;"",$J125=""),AND($K125="",$J125&lt;&gt;""))),"Preencha A partir de e Até",IF(AND($G125&lt;&gt;"Mudar status",$K125&lt;&gt;"",$K125&gt;TODAY()),"Data futura: o sistema aplica na hora","Pronto para enviar")))))))</f>
        <v/>
      </c>
    </row>
    <row r="126" ht="24" customHeight="1" spans="1:13">
      <c r="A126" s="4"/>
      <c r="B126" s="13"/>
      <c r="C126" s="13"/>
      <c r="D126" s="4"/>
      <c r="E126" s="13"/>
      <c r="F126" s="13"/>
      <c r="G126" s="4"/>
      <c r="H126" s="4"/>
      <c r="I126" s="13"/>
      <c r="J126" s="14"/>
      <c r="K126" s="7"/>
      <c r="L126" s="15"/>
      <c r="M126" s="6" t="str">
        <f ca="1" xml:space="preserve">IF($G126="","",IF(AND(LEFT($G126,5)="Mover",$H126=""),"Falta a equipe destino",IF(AND(LEFT($G126,5)="Mover",$H126=$A126),"Já está nesta equipe",IF(AND(LEFT($G126,5)="Mover",COUNTIF(EQUIPES!$C$2:$C$300,$H126)=0),"Equipe destino não existe",IF(AND($G126="Mudar status",$I126=""),"Falta o novo status",IF(AND($G126="Mudar status",OR(AND($K126&lt;&gt;"",$J126=""),AND($K126="",$J126&lt;&gt;""))),"Preencha A partir de e Até",IF(AND($G126&lt;&gt;"Mudar status",$K126&lt;&gt;"",$K126&gt;TODAY()),"Data futura: o sistema aplica na hora","Pronto para enviar")))))))</f>
        <v/>
      </c>
    </row>
    <row r="127" ht="24" customHeight="1" spans="1:13">
      <c r="A127" s="4"/>
      <c r="B127" s="13"/>
      <c r="C127" s="13"/>
      <c r="D127" s="4"/>
      <c r="E127" s="13"/>
      <c r="F127" s="13"/>
      <c r="G127" s="4"/>
      <c r="H127" s="4"/>
      <c r="I127" s="13"/>
      <c r="J127" s="14"/>
      <c r="K127" s="7"/>
      <c r="L127" s="15"/>
      <c r="M127" s="6" t="str">
        <f ca="1" xml:space="preserve">IF($G127="","",IF(AND(LEFT($G127,5)="Mover",$H127=""),"Falta a equipe destino",IF(AND(LEFT($G127,5)="Mover",$H127=$A127),"Já está nesta equipe",IF(AND(LEFT($G127,5)="Mover",COUNTIF(EQUIPES!$C$2:$C$300,$H127)=0),"Equipe destino não existe",IF(AND($G127="Mudar status",$I127=""),"Falta o novo status",IF(AND($G127="Mudar status",OR(AND($K127&lt;&gt;"",$J127=""),AND($K127="",$J127&lt;&gt;""))),"Preencha A partir de e Até",IF(AND($G127&lt;&gt;"Mudar status",$K127&lt;&gt;"",$K127&gt;TODAY()),"Data futura: o sistema aplica na hora","Pronto para enviar")))))))</f>
        <v/>
      </c>
    </row>
    <row r="128" ht="24" customHeight="1" spans="1:13">
      <c r="A128" s="4"/>
      <c r="B128" s="13"/>
      <c r="C128" s="13"/>
      <c r="D128" s="4"/>
      <c r="E128" s="13"/>
      <c r="F128" s="13"/>
      <c r="G128" s="4"/>
      <c r="H128" s="4"/>
      <c r="I128" s="13"/>
      <c r="J128" s="14"/>
      <c r="K128" s="7"/>
      <c r="L128" s="15"/>
      <c r="M128" s="6" t="str">
        <f ca="1" xml:space="preserve">IF($G128="","",IF(AND(LEFT($G128,5)="Mover",$H128=""),"Falta a equipe destino",IF(AND(LEFT($G128,5)="Mover",$H128=$A128),"Já está nesta equipe",IF(AND(LEFT($G128,5)="Mover",COUNTIF(EQUIPES!$C$2:$C$300,$H128)=0),"Equipe destino não existe",IF(AND($G128="Mudar status",$I128=""),"Falta o novo status",IF(AND($G128="Mudar status",OR(AND($K128&lt;&gt;"",$J128=""),AND($K128="",$J128&lt;&gt;""))),"Preencha A partir de e Até",IF(AND($G128&lt;&gt;"Mudar status",$K128&lt;&gt;"",$K128&gt;TODAY()),"Data futura: o sistema aplica na hora","Pronto para enviar")))))))</f>
        <v/>
      </c>
    </row>
    <row r="129" ht="24" customHeight="1" spans="1:13">
      <c r="A129" s="4"/>
      <c r="B129" s="13"/>
      <c r="C129" s="13"/>
      <c r="D129" s="4"/>
      <c r="E129" s="13"/>
      <c r="F129" s="13"/>
      <c r="G129" s="4"/>
      <c r="H129" s="4"/>
      <c r="I129" s="13"/>
      <c r="J129" s="14"/>
      <c r="K129" s="7"/>
      <c r="L129" s="15"/>
      <c r="M129" s="6" t="str">
        <f ca="1" xml:space="preserve">IF($G129="","",IF(AND(LEFT($G129,5)="Mover",$H129=""),"Falta a equipe destino",IF(AND(LEFT($G129,5)="Mover",$H129=$A129),"Já está nesta equipe",IF(AND(LEFT($G129,5)="Mover",COUNTIF(EQUIPES!$C$2:$C$300,$H129)=0),"Equipe destino não existe",IF(AND($G129="Mudar status",$I129=""),"Falta o novo status",IF(AND($G129="Mudar status",OR(AND($K129&lt;&gt;"",$J129=""),AND($K129="",$J129&lt;&gt;""))),"Preencha A partir de e Até",IF(AND($G129&lt;&gt;"Mudar status",$K129&lt;&gt;"",$K129&gt;TODAY()),"Data futura: o sistema aplica na hora","Pronto para enviar")))))))</f>
        <v/>
      </c>
    </row>
    <row r="130" ht="24" customHeight="1" spans="1:13">
      <c r="A130" s="4"/>
      <c r="B130" s="13"/>
      <c r="C130" s="13"/>
      <c r="D130" s="4"/>
      <c r="E130" s="13"/>
      <c r="F130" s="13"/>
      <c r="G130" s="4"/>
      <c r="H130" s="4"/>
      <c r="I130" s="13"/>
      <c r="J130" s="14"/>
      <c r="K130" s="7"/>
      <c r="L130" s="15"/>
      <c r="M130" s="6" t="str">
        <f ca="1" xml:space="preserve">IF($G130="","",IF(AND(LEFT($G130,5)="Mover",$H130=""),"Falta a equipe destino",IF(AND(LEFT($G130,5)="Mover",$H130=$A130),"Já está nesta equipe",IF(AND(LEFT($G130,5)="Mover",COUNTIF(EQUIPES!$C$2:$C$300,$H130)=0),"Equipe destino não existe",IF(AND($G130="Mudar status",$I130=""),"Falta o novo status",IF(AND($G130="Mudar status",OR(AND($K130&lt;&gt;"",$J130=""),AND($K130="",$J130&lt;&gt;""))),"Preencha A partir de e Até",IF(AND($G130&lt;&gt;"Mudar status",$K130&lt;&gt;"",$K130&gt;TODAY()),"Data futura: o sistema aplica na hora","Pronto para enviar")))))))</f>
        <v/>
      </c>
    </row>
    <row r="131" ht="24" customHeight="1" spans="1:13">
      <c r="A131" s="4"/>
      <c r="B131" s="13"/>
      <c r="C131" s="13"/>
      <c r="D131" s="4"/>
      <c r="E131" s="13"/>
      <c r="F131" s="13"/>
      <c r="G131" s="4"/>
      <c r="H131" s="4"/>
      <c r="I131" s="13"/>
      <c r="J131" s="14"/>
      <c r="K131" s="7"/>
      <c r="L131" s="15"/>
      <c r="M131" s="6" t="str">
        <f ca="1" xml:space="preserve">IF($G131="","",IF(AND(LEFT($G131,5)="Mover",$H131=""),"Falta a equipe destino",IF(AND(LEFT($G131,5)="Mover",$H131=$A131),"Já está nesta equipe",IF(AND(LEFT($G131,5)="Mover",COUNTIF(EQUIPES!$C$2:$C$300,$H131)=0),"Equipe destino não existe",IF(AND($G131="Mudar status",$I131=""),"Falta o novo status",IF(AND($G131="Mudar status",OR(AND($K131&lt;&gt;"",$J131=""),AND($K131="",$J131&lt;&gt;""))),"Preencha A partir de e Até",IF(AND($G131&lt;&gt;"Mudar status",$K131&lt;&gt;"",$K131&gt;TODAY()),"Data futura: o sistema aplica na hora","Pronto para enviar")))))))</f>
        <v/>
      </c>
    </row>
    <row r="132" ht="24" customHeight="1" spans="1:13">
      <c r="A132" s="4"/>
      <c r="B132" s="13"/>
      <c r="C132" s="13"/>
      <c r="D132" s="4"/>
      <c r="E132" s="13"/>
      <c r="F132" s="13"/>
      <c r="G132" s="4"/>
      <c r="H132" s="4"/>
      <c r="I132" s="13"/>
      <c r="J132" s="14"/>
      <c r="K132" s="7"/>
      <c r="L132" s="15"/>
      <c r="M132" s="6" t="str">
        <f ca="1" xml:space="preserve">IF($G132="","",IF(AND(LEFT($G132,5)="Mover",$H132=""),"Falta a equipe destino",IF(AND(LEFT($G132,5)="Mover",$H132=$A132),"Já está nesta equipe",IF(AND(LEFT($G132,5)="Mover",COUNTIF(EQUIPES!$C$2:$C$300,$H132)=0),"Equipe destino não existe",IF(AND($G132="Mudar status",$I132=""),"Falta o novo status",IF(AND($G132="Mudar status",OR(AND($K132&lt;&gt;"",$J132=""),AND($K132="",$J132&lt;&gt;""))),"Preencha A partir de e Até",IF(AND($G132&lt;&gt;"Mudar status",$K132&lt;&gt;"",$K132&gt;TODAY()),"Data futura: o sistema aplica na hora","Pronto para enviar")))))))</f>
        <v/>
      </c>
    </row>
    <row r="133" ht="24" customHeight="1" spans="1:13">
      <c r="A133" s="4"/>
      <c r="B133" s="13"/>
      <c r="C133" s="13"/>
      <c r="D133" s="4"/>
      <c r="E133" s="13"/>
      <c r="F133" s="13"/>
      <c r="G133" s="4"/>
      <c r="H133" s="4"/>
      <c r="I133" s="13"/>
      <c r="J133" s="14"/>
      <c r="K133" s="7"/>
      <c r="L133" s="15"/>
      <c r="M133" s="6" t="str">
        <f ca="1" xml:space="preserve">IF($G133="","",IF(AND(LEFT($G133,5)="Mover",$H133=""),"Falta a equipe destino",IF(AND(LEFT($G133,5)="Mover",$H133=$A133),"Já está nesta equipe",IF(AND(LEFT($G133,5)="Mover",COUNTIF(EQUIPES!$C$2:$C$300,$H133)=0),"Equipe destino não existe",IF(AND($G133="Mudar status",$I133=""),"Falta o novo status",IF(AND($G133="Mudar status",OR(AND($K133&lt;&gt;"",$J133=""),AND($K133="",$J133&lt;&gt;""))),"Preencha A partir de e Até",IF(AND($G133&lt;&gt;"Mudar status",$K133&lt;&gt;"",$K133&gt;TODAY()),"Data futura: o sistema aplica na hora","Pronto para enviar")))))))</f>
        <v/>
      </c>
    </row>
    <row r="134" ht="24" customHeight="1" spans="1:13">
      <c r="A134" s="4"/>
      <c r="B134" s="13"/>
      <c r="C134" s="13"/>
      <c r="D134" s="4"/>
      <c r="E134" s="13"/>
      <c r="F134" s="13"/>
      <c r="G134" s="4"/>
      <c r="H134" s="4"/>
      <c r="I134" s="13"/>
      <c r="J134" s="14"/>
      <c r="K134" s="7"/>
      <c r="L134" s="15"/>
      <c r="M134" s="6" t="str">
        <f ca="1" xml:space="preserve">IF($G134="","",IF(AND(LEFT($G134,5)="Mover",$H134=""),"Falta a equipe destino",IF(AND(LEFT($G134,5)="Mover",$H134=$A134),"Já está nesta equipe",IF(AND(LEFT($G134,5)="Mover",COUNTIF(EQUIPES!$C$2:$C$300,$H134)=0),"Equipe destino não existe",IF(AND($G134="Mudar status",$I134=""),"Falta o novo status",IF(AND($G134="Mudar status",OR(AND($K134&lt;&gt;"",$J134=""),AND($K134="",$J134&lt;&gt;""))),"Preencha A partir de e Até",IF(AND($G134&lt;&gt;"Mudar status",$K134&lt;&gt;"",$K134&gt;TODAY()),"Data futura: o sistema aplica na hora","Pronto para enviar")))))))</f>
        <v/>
      </c>
    </row>
    <row r="135" ht="24" customHeight="1" spans="1:13">
      <c r="A135" s="4"/>
      <c r="B135" s="13"/>
      <c r="C135" s="13"/>
      <c r="D135" s="4"/>
      <c r="E135" s="13"/>
      <c r="F135" s="13"/>
      <c r="G135" s="4"/>
      <c r="H135" s="4"/>
      <c r="I135" s="13"/>
      <c r="J135" s="14"/>
      <c r="K135" s="7"/>
      <c r="L135" s="15"/>
      <c r="M135" s="6" t="str">
        <f ca="1" xml:space="preserve">IF($G135="","",IF(AND(LEFT($G135,5)="Mover",$H135=""),"Falta a equipe destino",IF(AND(LEFT($G135,5)="Mover",$H135=$A135),"Já está nesta equipe",IF(AND(LEFT($G135,5)="Mover",COUNTIF(EQUIPES!$C$2:$C$300,$H135)=0),"Equipe destino não existe",IF(AND($G135="Mudar status",$I135=""),"Falta o novo status",IF(AND($G135="Mudar status",OR(AND($K135&lt;&gt;"",$J135=""),AND($K135="",$J135&lt;&gt;""))),"Preencha A partir de e Até",IF(AND($G135&lt;&gt;"Mudar status",$K135&lt;&gt;"",$K135&gt;TODAY()),"Data futura: o sistema aplica na hora","Pronto para enviar")))))))</f>
        <v/>
      </c>
    </row>
    <row r="136" ht="24" customHeight="1" spans="1:13">
      <c r="A136" s="4"/>
      <c r="B136" s="13"/>
      <c r="C136" s="13"/>
      <c r="D136" s="4"/>
      <c r="E136" s="13"/>
      <c r="F136" s="13"/>
      <c r="G136" s="4"/>
      <c r="H136" s="4"/>
      <c r="I136" s="13"/>
      <c r="J136" s="14"/>
      <c r="K136" s="7"/>
      <c r="L136" s="15"/>
      <c r="M136" s="6" t="str">
        <f ca="1" xml:space="preserve">IF($G136="","",IF(AND(LEFT($G136,5)="Mover",$H136=""),"Falta a equipe destino",IF(AND(LEFT($G136,5)="Mover",$H136=$A136),"Já está nesta equipe",IF(AND(LEFT($G136,5)="Mover",COUNTIF(EQUIPES!$C$2:$C$300,$H136)=0),"Equipe destino não existe",IF(AND($G136="Mudar status",$I136=""),"Falta o novo status",IF(AND($G136="Mudar status",OR(AND($K136&lt;&gt;"",$J136=""),AND($K136="",$J136&lt;&gt;""))),"Preencha A partir de e Até",IF(AND($G136&lt;&gt;"Mudar status",$K136&lt;&gt;"",$K136&gt;TODAY()),"Data futura: o sistema aplica na hora","Pronto para enviar")))))))</f>
        <v/>
      </c>
    </row>
    <row r="137" ht="24" customHeight="1" spans="1:13">
      <c r="A137" s="4"/>
      <c r="B137" s="13"/>
      <c r="C137" s="13"/>
      <c r="D137" s="4"/>
      <c r="E137" s="13"/>
      <c r="F137" s="13"/>
      <c r="G137" s="4"/>
      <c r="H137" s="4"/>
      <c r="I137" s="13"/>
      <c r="J137" s="14"/>
      <c r="K137" s="7"/>
      <c r="L137" s="15"/>
      <c r="M137" s="6" t="str">
        <f ca="1" xml:space="preserve">IF($G137="","",IF(AND(LEFT($G137,5)="Mover",$H137=""),"Falta a equipe destino",IF(AND(LEFT($G137,5)="Mover",$H137=$A137),"Já está nesta equipe",IF(AND(LEFT($G137,5)="Mover",COUNTIF(EQUIPES!$C$2:$C$300,$H137)=0),"Equipe destino não existe",IF(AND($G137="Mudar status",$I137=""),"Falta o novo status",IF(AND($G137="Mudar status",OR(AND($K137&lt;&gt;"",$J137=""),AND($K137="",$J137&lt;&gt;""))),"Preencha A partir de e Até",IF(AND($G137&lt;&gt;"Mudar status",$K137&lt;&gt;"",$K137&gt;TODAY()),"Data futura: o sistema aplica na hora","Pronto para enviar")))))))</f>
        <v/>
      </c>
    </row>
    <row r="138" ht="24" customHeight="1" spans="1:13">
      <c r="A138" s="4"/>
      <c r="B138" s="13"/>
      <c r="C138" s="13"/>
      <c r="D138" s="4"/>
      <c r="E138" s="13"/>
      <c r="F138" s="13"/>
      <c r="G138" s="4"/>
      <c r="H138" s="4"/>
      <c r="I138" s="13"/>
      <c r="J138" s="14"/>
      <c r="K138" s="7"/>
      <c r="L138" s="15"/>
      <c r="M138" s="6" t="str">
        <f ca="1" xml:space="preserve">IF($G138="","",IF(AND(LEFT($G138,5)="Mover",$H138=""),"Falta a equipe destino",IF(AND(LEFT($G138,5)="Mover",$H138=$A138),"Já está nesta equipe",IF(AND(LEFT($G138,5)="Mover",COUNTIF(EQUIPES!$C$2:$C$300,$H138)=0),"Equipe destino não existe",IF(AND($G138="Mudar status",$I138=""),"Falta o novo status",IF(AND($G138="Mudar status",OR(AND($K138&lt;&gt;"",$J138=""),AND($K138="",$J138&lt;&gt;""))),"Preencha A partir de e Até",IF(AND($G138&lt;&gt;"Mudar status",$K138&lt;&gt;"",$K138&gt;TODAY()),"Data futura: o sistema aplica na hora","Pronto para enviar")))))))</f>
        <v/>
      </c>
    </row>
    <row r="139" ht="24" customHeight="1" spans="1:13">
      <c r="A139" s="4"/>
      <c r="B139" s="13"/>
      <c r="C139" s="13"/>
      <c r="D139" s="4"/>
      <c r="E139" s="13"/>
      <c r="F139" s="13"/>
      <c r="G139" s="4"/>
      <c r="H139" s="4"/>
      <c r="I139" s="13"/>
      <c r="J139" s="14"/>
      <c r="K139" s="7"/>
      <c r="L139" s="15"/>
      <c r="M139" s="6" t="str">
        <f ca="1" xml:space="preserve">IF($G139="","",IF(AND(LEFT($G139,5)="Mover",$H139=""),"Falta a equipe destino",IF(AND(LEFT($G139,5)="Mover",$H139=$A139),"Já está nesta equipe",IF(AND(LEFT($G139,5)="Mover",COUNTIF(EQUIPES!$C$2:$C$300,$H139)=0),"Equipe destino não existe",IF(AND($G139="Mudar status",$I139=""),"Falta o novo status",IF(AND($G139="Mudar status",OR(AND($K139&lt;&gt;"",$J139=""),AND($K139="",$J139&lt;&gt;""))),"Preencha A partir de e Até",IF(AND($G139&lt;&gt;"Mudar status",$K139&lt;&gt;"",$K139&gt;TODAY()),"Data futura: o sistema aplica na hora","Pronto para enviar")))))))</f>
        <v/>
      </c>
    </row>
    <row r="140" ht="24" customHeight="1" spans="1:13">
      <c r="A140" s="4"/>
      <c r="B140" s="13"/>
      <c r="C140" s="13"/>
      <c r="D140" s="4"/>
      <c r="E140" s="13"/>
      <c r="F140" s="13"/>
      <c r="G140" s="4"/>
      <c r="H140" s="4"/>
      <c r="I140" s="13"/>
      <c r="J140" s="14"/>
      <c r="K140" s="7"/>
      <c r="L140" s="15"/>
      <c r="M140" s="6" t="str">
        <f ca="1" xml:space="preserve">IF($G140="","",IF(AND(LEFT($G140,5)="Mover",$H140=""),"Falta a equipe destino",IF(AND(LEFT($G140,5)="Mover",$H140=$A140),"Já está nesta equipe",IF(AND(LEFT($G140,5)="Mover",COUNTIF(EQUIPES!$C$2:$C$300,$H140)=0),"Equipe destino não existe",IF(AND($G140="Mudar status",$I140=""),"Falta o novo status",IF(AND($G140="Mudar status",OR(AND($K140&lt;&gt;"",$J140=""),AND($K140="",$J140&lt;&gt;""))),"Preencha A partir de e Até",IF(AND($G140&lt;&gt;"Mudar status",$K140&lt;&gt;"",$K140&gt;TODAY()),"Data futura: o sistema aplica na hora","Pronto para enviar")))))))</f>
        <v/>
      </c>
    </row>
    <row r="141" ht="24" customHeight="1" spans="1:13">
      <c r="A141" s="4"/>
      <c r="B141" s="13"/>
      <c r="C141" s="13"/>
      <c r="D141" s="4"/>
      <c r="E141" s="13"/>
      <c r="F141" s="13"/>
      <c r="G141" s="4"/>
      <c r="H141" s="4"/>
      <c r="I141" s="13"/>
      <c r="J141" s="14"/>
      <c r="K141" s="7"/>
      <c r="L141" s="15"/>
      <c r="M141" s="6" t="str">
        <f ca="1" xml:space="preserve">IF($G141="","",IF(AND(LEFT($G141,5)="Mover",$H141=""),"Falta a equipe destino",IF(AND(LEFT($G141,5)="Mover",$H141=$A141),"Já está nesta equipe",IF(AND(LEFT($G141,5)="Mover",COUNTIF(EQUIPES!$C$2:$C$300,$H141)=0),"Equipe destino não existe",IF(AND($G141="Mudar status",$I141=""),"Falta o novo status",IF(AND($G141="Mudar status",OR(AND($K141&lt;&gt;"",$J141=""),AND($K141="",$J141&lt;&gt;""))),"Preencha A partir de e Até",IF(AND($G141&lt;&gt;"Mudar status",$K141&lt;&gt;"",$K141&gt;TODAY()),"Data futura: o sistema aplica na hora","Pronto para enviar")))))))</f>
        <v/>
      </c>
    </row>
    <row r="142" ht="24" customHeight="1" spans="1:13">
      <c r="A142" s="4"/>
      <c r="B142" s="13"/>
      <c r="C142" s="13"/>
      <c r="D142" s="4"/>
      <c r="E142" s="13"/>
      <c r="F142" s="13"/>
      <c r="G142" s="4"/>
      <c r="H142" s="4"/>
      <c r="I142" s="13"/>
      <c r="J142" s="14"/>
      <c r="K142" s="7"/>
      <c r="L142" s="15"/>
      <c r="M142" s="6" t="str">
        <f ca="1" xml:space="preserve">IF($G142="","",IF(AND(LEFT($G142,5)="Mover",$H142=""),"Falta a equipe destino",IF(AND(LEFT($G142,5)="Mover",$H142=$A142),"Já está nesta equipe",IF(AND(LEFT($G142,5)="Mover",COUNTIF(EQUIPES!$C$2:$C$300,$H142)=0),"Equipe destino não existe",IF(AND($G142="Mudar status",$I142=""),"Falta o novo status",IF(AND($G142="Mudar status",OR(AND($K142&lt;&gt;"",$J142=""),AND($K142="",$J142&lt;&gt;""))),"Preencha A partir de e Até",IF(AND($G142&lt;&gt;"Mudar status",$K142&lt;&gt;"",$K142&gt;TODAY()),"Data futura: o sistema aplica na hora","Pronto para enviar")))))))</f>
        <v/>
      </c>
    </row>
    <row r="143" ht="24" customHeight="1" spans="1:13">
      <c r="A143" s="4"/>
      <c r="B143" s="13"/>
      <c r="C143" s="13"/>
      <c r="D143" s="4"/>
      <c r="E143" s="13"/>
      <c r="F143" s="13"/>
      <c r="G143" s="4"/>
      <c r="H143" s="4"/>
      <c r="I143" s="13"/>
      <c r="J143" s="14"/>
      <c r="K143" s="7"/>
      <c r="L143" s="15"/>
      <c r="M143" s="6" t="str">
        <f ca="1" xml:space="preserve">IF($G143="","",IF(AND(LEFT($G143,5)="Mover",$H143=""),"Falta a equipe destino",IF(AND(LEFT($G143,5)="Mover",$H143=$A143),"Já está nesta equipe",IF(AND(LEFT($G143,5)="Mover",COUNTIF(EQUIPES!$C$2:$C$300,$H143)=0),"Equipe destino não existe",IF(AND($G143="Mudar status",$I143=""),"Falta o novo status",IF(AND($G143="Mudar status",OR(AND($K143&lt;&gt;"",$J143=""),AND($K143="",$J143&lt;&gt;""))),"Preencha A partir de e Até",IF(AND($G143&lt;&gt;"Mudar status",$K143&lt;&gt;"",$K143&gt;TODAY()),"Data futura: o sistema aplica na hora","Pronto para enviar")))))))</f>
        <v/>
      </c>
    </row>
    <row r="144" ht="24" customHeight="1" spans="1:13">
      <c r="A144" s="4"/>
      <c r="B144" s="13"/>
      <c r="C144" s="13"/>
      <c r="D144" s="4"/>
      <c r="E144" s="13"/>
      <c r="F144" s="13"/>
      <c r="G144" s="4"/>
      <c r="H144" s="4"/>
      <c r="I144" s="13"/>
      <c r="J144" s="14"/>
      <c r="K144" s="7"/>
      <c r="L144" s="15"/>
      <c r="M144" s="6" t="str">
        <f ca="1" xml:space="preserve">IF($G144="","",IF(AND(LEFT($G144,5)="Mover",$H144=""),"Falta a equipe destino",IF(AND(LEFT($G144,5)="Mover",$H144=$A144),"Já está nesta equipe",IF(AND(LEFT($G144,5)="Mover",COUNTIF(EQUIPES!$C$2:$C$300,$H144)=0),"Equipe destino não existe",IF(AND($G144="Mudar status",$I144=""),"Falta o novo status",IF(AND($G144="Mudar status",OR(AND($K144&lt;&gt;"",$J144=""),AND($K144="",$J144&lt;&gt;""))),"Preencha A partir de e Até",IF(AND($G144&lt;&gt;"Mudar status",$K144&lt;&gt;"",$K144&gt;TODAY()),"Data futura: o sistema aplica na hora","Pronto para enviar")))))))</f>
        <v/>
      </c>
    </row>
    <row r="145" ht="24" customHeight="1" spans="1:13">
      <c r="A145" s="4"/>
      <c r="B145" s="13"/>
      <c r="C145" s="13"/>
      <c r="D145" s="4"/>
      <c r="E145" s="13"/>
      <c r="F145" s="13"/>
      <c r="G145" s="4"/>
      <c r="H145" s="4"/>
      <c r="I145" s="13"/>
      <c r="J145" s="14"/>
      <c r="K145" s="7"/>
      <c r="L145" s="15"/>
      <c r="M145" s="6" t="str">
        <f ca="1" xml:space="preserve">IF($G145="","",IF(AND(LEFT($G145,5)="Mover",$H145=""),"Falta a equipe destino",IF(AND(LEFT($G145,5)="Mover",$H145=$A145),"Já está nesta equipe",IF(AND(LEFT($G145,5)="Mover",COUNTIF(EQUIPES!$C$2:$C$300,$H145)=0),"Equipe destino não existe",IF(AND($G145="Mudar status",$I145=""),"Falta o novo status",IF(AND($G145="Mudar status",OR(AND($K145&lt;&gt;"",$J145=""),AND($K145="",$J145&lt;&gt;""))),"Preencha A partir de e Até",IF(AND($G145&lt;&gt;"Mudar status",$K145&lt;&gt;"",$K145&gt;TODAY()),"Data futura: o sistema aplica na hora","Pronto para enviar")))))))</f>
        <v/>
      </c>
    </row>
    <row r="146" ht="24" customHeight="1" spans="1:13">
      <c r="A146" s="4"/>
      <c r="B146" s="13"/>
      <c r="C146" s="13"/>
      <c r="D146" s="4"/>
      <c r="E146" s="13"/>
      <c r="F146" s="13"/>
      <c r="G146" s="4"/>
      <c r="H146" s="4"/>
      <c r="I146" s="13"/>
      <c r="J146" s="14"/>
      <c r="K146" s="7"/>
      <c r="L146" s="15"/>
      <c r="M146" s="6" t="str">
        <f ca="1" xml:space="preserve">IF($G146="","",IF(AND(LEFT($G146,5)="Mover",$H146=""),"Falta a equipe destino",IF(AND(LEFT($G146,5)="Mover",$H146=$A146),"Já está nesta equipe",IF(AND(LEFT($G146,5)="Mover",COUNTIF(EQUIPES!$C$2:$C$300,$H146)=0),"Equipe destino não existe",IF(AND($G146="Mudar status",$I146=""),"Falta o novo status",IF(AND($G146="Mudar status",OR(AND($K146&lt;&gt;"",$J146=""),AND($K146="",$J146&lt;&gt;""))),"Preencha A partir de e Até",IF(AND($G146&lt;&gt;"Mudar status",$K146&lt;&gt;"",$K146&gt;TODAY()),"Data futura: o sistema aplica na hora","Pronto para enviar")))))))</f>
        <v/>
      </c>
    </row>
    <row r="147" ht="24" customHeight="1" spans="1:13">
      <c r="A147" s="4"/>
      <c r="B147" s="13"/>
      <c r="C147" s="13"/>
      <c r="D147" s="4"/>
      <c r="E147" s="13"/>
      <c r="F147" s="13"/>
      <c r="G147" s="4"/>
      <c r="H147" s="4"/>
      <c r="I147" s="13"/>
      <c r="J147" s="14"/>
      <c r="K147" s="7"/>
      <c r="L147" s="15"/>
      <c r="M147" s="6" t="str">
        <f ca="1" xml:space="preserve">IF($G147="","",IF(AND(LEFT($G147,5)="Mover",$H147=""),"Falta a equipe destino",IF(AND(LEFT($G147,5)="Mover",$H147=$A147),"Já está nesta equipe",IF(AND(LEFT($G147,5)="Mover",COUNTIF(EQUIPES!$C$2:$C$300,$H147)=0),"Equipe destino não existe",IF(AND($G147="Mudar status",$I147=""),"Falta o novo status",IF(AND($G147="Mudar status",OR(AND($K147&lt;&gt;"",$J147=""),AND($K147="",$J147&lt;&gt;""))),"Preencha A partir de e Até",IF(AND($G147&lt;&gt;"Mudar status",$K147&lt;&gt;"",$K147&gt;TODAY()),"Data futura: o sistema aplica na hora","Pronto para enviar")))))))</f>
        <v/>
      </c>
    </row>
    <row r="148" ht="24" customHeight="1" spans="1:13">
      <c r="A148" s="4"/>
      <c r="B148" s="13"/>
      <c r="C148" s="13"/>
      <c r="D148" s="4"/>
      <c r="E148" s="13"/>
      <c r="F148" s="13"/>
      <c r="G148" s="4"/>
      <c r="H148" s="4"/>
      <c r="I148" s="13"/>
      <c r="J148" s="14"/>
      <c r="K148" s="7"/>
      <c r="L148" s="15"/>
      <c r="M148" s="6" t="str">
        <f ca="1" xml:space="preserve">IF($G148="","",IF(AND(LEFT($G148,5)="Mover",$H148=""),"Falta a equipe destino",IF(AND(LEFT($G148,5)="Mover",$H148=$A148),"Já está nesta equipe",IF(AND(LEFT($G148,5)="Mover",COUNTIF(EQUIPES!$C$2:$C$300,$H148)=0),"Equipe destino não existe",IF(AND($G148="Mudar status",$I148=""),"Falta o novo status",IF(AND($G148="Mudar status",OR(AND($K148&lt;&gt;"",$J148=""),AND($K148="",$J148&lt;&gt;""))),"Preencha A partir de e Até",IF(AND($G148&lt;&gt;"Mudar status",$K148&lt;&gt;"",$K148&gt;TODAY()),"Data futura: o sistema aplica na hora","Pronto para enviar")))))))</f>
        <v/>
      </c>
    </row>
    <row r="149" ht="24" customHeight="1" spans="1:13">
      <c r="A149" s="4"/>
      <c r="B149" s="13"/>
      <c r="C149" s="13"/>
      <c r="D149" s="4"/>
      <c r="E149" s="13"/>
      <c r="F149" s="13"/>
      <c r="G149" s="4"/>
      <c r="H149" s="4"/>
      <c r="I149" s="13"/>
      <c r="J149" s="14"/>
      <c r="K149" s="7"/>
      <c r="L149" s="15"/>
      <c r="M149" s="6" t="str">
        <f ca="1" xml:space="preserve">IF($G149="","",IF(AND(LEFT($G149,5)="Mover",$H149=""),"Falta a equipe destino",IF(AND(LEFT($G149,5)="Mover",$H149=$A149),"Já está nesta equipe",IF(AND(LEFT($G149,5)="Mover",COUNTIF(EQUIPES!$C$2:$C$300,$H149)=0),"Equipe destino não existe",IF(AND($G149="Mudar status",$I149=""),"Falta o novo status",IF(AND($G149="Mudar status",OR(AND($K149&lt;&gt;"",$J149=""),AND($K149="",$J149&lt;&gt;""))),"Preencha A partir de e Até",IF(AND($G149&lt;&gt;"Mudar status",$K149&lt;&gt;"",$K149&gt;TODAY()),"Data futura: o sistema aplica na hora","Pronto para enviar")))))))</f>
        <v/>
      </c>
    </row>
    <row r="150" ht="24" customHeight="1" spans="1:13">
      <c r="A150" s="4"/>
      <c r="B150" s="13"/>
      <c r="C150" s="13"/>
      <c r="D150" s="4"/>
      <c r="E150" s="13"/>
      <c r="F150" s="13"/>
      <c r="G150" s="4"/>
      <c r="H150" s="4"/>
      <c r="I150" s="13"/>
      <c r="J150" s="14"/>
      <c r="K150" s="7"/>
      <c r="L150" s="15"/>
      <c r="M150" s="6" t="str">
        <f ca="1" xml:space="preserve">IF($G150="","",IF(AND(LEFT($G150,5)="Mover",$H150=""),"Falta a equipe destino",IF(AND(LEFT($G150,5)="Mover",$H150=$A150),"Já está nesta equipe",IF(AND(LEFT($G150,5)="Mover",COUNTIF(EQUIPES!$C$2:$C$300,$H150)=0),"Equipe destino não existe",IF(AND($G150="Mudar status",$I150=""),"Falta o novo status",IF(AND($G150="Mudar status",OR(AND($K150&lt;&gt;"",$J150=""),AND($K150="",$J150&lt;&gt;""))),"Preencha A partir de e Até",IF(AND($G150&lt;&gt;"Mudar status",$K150&lt;&gt;"",$K150&gt;TODAY()),"Data futura: o sistema aplica na hora","Pronto para enviar")))))))</f>
        <v/>
      </c>
    </row>
    <row r="151" ht="24" customHeight="1" spans="1:13">
      <c r="A151" s="4"/>
      <c r="B151" s="13"/>
      <c r="C151" s="13"/>
      <c r="D151" s="4"/>
      <c r="E151" s="13"/>
      <c r="F151" s="13"/>
      <c r="G151" s="4"/>
      <c r="H151" s="4"/>
      <c r="I151" s="13"/>
      <c r="J151" s="14"/>
      <c r="K151" s="7"/>
      <c r="L151" s="15"/>
      <c r="M151" s="6" t="str">
        <f ca="1" xml:space="preserve">IF($G151="","",IF(AND(LEFT($G151,5)="Mover",$H151=""),"Falta a equipe destino",IF(AND(LEFT($G151,5)="Mover",$H151=$A151),"Já está nesta equipe",IF(AND(LEFT($G151,5)="Mover",COUNTIF(EQUIPES!$C$2:$C$300,$H151)=0),"Equipe destino não existe",IF(AND($G151="Mudar status",$I151=""),"Falta o novo status",IF(AND($G151="Mudar status",OR(AND($K151&lt;&gt;"",$J151=""),AND($K151="",$J151&lt;&gt;""))),"Preencha A partir de e Até",IF(AND($G151&lt;&gt;"Mudar status",$K151&lt;&gt;"",$K151&gt;TODAY()),"Data futura: o sistema aplica na hora","Pronto para enviar")))))))</f>
        <v/>
      </c>
    </row>
    <row r="152" ht="24" customHeight="1" spans="1:13">
      <c r="A152" s="4"/>
      <c r="B152" s="13"/>
      <c r="C152" s="13"/>
      <c r="D152" s="4"/>
      <c r="E152" s="13"/>
      <c r="F152" s="13"/>
      <c r="G152" s="4"/>
      <c r="H152" s="4"/>
      <c r="I152" s="13"/>
      <c r="J152" s="14"/>
      <c r="K152" s="7"/>
      <c r="L152" s="15"/>
      <c r="M152" s="6" t="str">
        <f ca="1" xml:space="preserve">IF($G152="","",IF(AND(LEFT($G152,5)="Mover",$H152=""),"Falta a equipe destino",IF(AND(LEFT($G152,5)="Mover",$H152=$A152),"Já está nesta equipe",IF(AND(LEFT($G152,5)="Mover",COUNTIF(EQUIPES!$C$2:$C$300,$H152)=0),"Equipe destino não existe",IF(AND($G152="Mudar status",$I152=""),"Falta o novo status",IF(AND($G152="Mudar status",OR(AND($K152&lt;&gt;"",$J152=""),AND($K152="",$J152&lt;&gt;""))),"Preencha A partir de e Até",IF(AND($G152&lt;&gt;"Mudar status",$K152&lt;&gt;"",$K152&gt;TODAY()),"Data futura: o sistema aplica na hora","Pronto para enviar")))))))</f>
        <v/>
      </c>
    </row>
    <row r="153" ht="24" customHeight="1" spans="1:13">
      <c r="A153" s="4"/>
      <c r="B153" s="13"/>
      <c r="C153" s="13"/>
      <c r="D153" s="4"/>
      <c r="E153" s="13"/>
      <c r="F153" s="13"/>
      <c r="G153" s="4"/>
      <c r="H153" s="4"/>
      <c r="I153" s="13"/>
      <c r="J153" s="14"/>
      <c r="K153" s="7"/>
      <c r="L153" s="15"/>
      <c r="M153" s="6" t="str">
        <f ca="1" xml:space="preserve">IF($G153="","",IF(AND(LEFT($G153,5)="Mover",$H153=""),"Falta a equipe destino",IF(AND(LEFT($G153,5)="Mover",$H153=$A153),"Já está nesta equipe",IF(AND(LEFT($G153,5)="Mover",COUNTIF(EQUIPES!$C$2:$C$300,$H153)=0),"Equipe destino não existe",IF(AND($G153="Mudar status",$I153=""),"Falta o novo status",IF(AND($G153="Mudar status",OR(AND($K153&lt;&gt;"",$J153=""),AND($K153="",$J153&lt;&gt;""))),"Preencha A partir de e Até",IF(AND($G153&lt;&gt;"Mudar status",$K153&lt;&gt;"",$K153&gt;TODAY()),"Data futura: o sistema aplica na hora","Pronto para enviar")))))))</f>
        <v/>
      </c>
    </row>
    <row r="154" ht="24" customHeight="1" spans="1:13">
      <c r="A154" s="4"/>
      <c r="B154" s="13"/>
      <c r="C154" s="13"/>
      <c r="D154" s="4"/>
      <c r="E154" s="13"/>
      <c r="F154" s="13"/>
      <c r="G154" s="4"/>
      <c r="H154" s="4"/>
      <c r="I154" s="13"/>
      <c r="J154" s="14"/>
      <c r="K154" s="7"/>
      <c r="L154" s="15"/>
      <c r="M154" s="6" t="str">
        <f ca="1" xml:space="preserve">IF($G154="","",IF(AND(LEFT($G154,5)="Mover",$H154=""),"Falta a equipe destino",IF(AND(LEFT($G154,5)="Mover",$H154=$A154),"Já está nesta equipe",IF(AND(LEFT($G154,5)="Mover",COUNTIF(EQUIPES!$C$2:$C$300,$H154)=0),"Equipe destino não existe",IF(AND($G154="Mudar status",$I154=""),"Falta o novo status",IF(AND($G154="Mudar status",OR(AND($K154&lt;&gt;"",$J154=""),AND($K154="",$J154&lt;&gt;""))),"Preencha A partir de e Até",IF(AND($G154&lt;&gt;"Mudar status",$K154&lt;&gt;"",$K154&gt;TODAY()),"Data futura: o sistema aplica na hora","Pronto para enviar")))))))</f>
        <v/>
      </c>
    </row>
  </sheetData>
  <autoFilter xmlns:etc="http://www.wps.cn/officeDocument/2017/etCustomData" ref="A4:M154" etc:filterBottomFollowUsedRange="0">
    <extLst/>
  </autoFilter>
  <mergeCells count="1">
    <mergeCell ref="A2:M2"/>
  </mergeCells>
  <conditionalFormatting sqref="G5:G154">
    <cfRule type="expression" dxfId="1" priority="3">
      <formula>G5&lt;&gt;""</formula>
    </cfRule>
  </conditionalFormatting>
  <conditionalFormatting sqref="M5:M154">
    <cfRule type="expression" dxfId="2" priority="1">
      <formula>M5="Pronto para enviar"</formula>
    </cfRule>
    <cfRule type="expression" dxfId="0" priority="2">
      <formula>AND(M5&lt;&gt;"",M5&lt;&gt;"Pronto para enviar")</formula>
    </cfRule>
  </conditionalFormatting>
  <dataValidations count="4">
    <dataValidation type="list" allowBlank="1" showInputMessage="1" showErrorMessage="1" errorTitle="Equipe" error="Este valor não está na lista. Pode manter se for o que quer escrever." promptTitle="Equipe" prompt="A equipe em que a pessoa está hoje." sqref="A5:A154">
      <formula1>EQUIPES!$C$2:$C$300</formula1>
    </dataValidation>
    <dataValidation type="list" allowBlank="1" showInputMessage="1" showErrorMessage="1" errorTitle="Ação" error="Este valor não está na lista. Pode manter se for o que quer escrever." promptTitle="Ação" prompt="Mover = vai para outra equipe. Liberar = sai da equipe e fica disponível. Desmobilizar = sai e é desligado." sqref="G5:G154">
      <formula1>"Mover para outra equipe,Liberar para outra equipe,Desmobilizar (desligar)"</formula1>
    </dataValidation>
    <dataValidation type="list" allowBlank="1" showInputMessage="1" showErrorMessage="1" errorTitle="Equipe destino" error="Este valor não está na lista. Pode manter se for o que quer escrever." promptTitle="Equipe destino" prompt="Só para Mover: escolha a equipe para onde a pessoa vai." sqref="H5:H154">
      <formula1>EQUIPES!$C$2:$C$300</formula1>
    </dataValidation>
    <dataValidation type="date" operator="greaterThan" allowBlank="1" showErrorMessage="1" errorTitle="Data" error="Digite a data como dd/mm/aaaa." sqref="K5:K154">
      <formula1>36526</formula1>
    </dataValidation>
  </dataValidations>
  <pageMargins left="0.4" right="0.4" top="1" bottom="1" header="0.5" footer="0.5"/>
  <pageSetup paperSize="9" fitToHeight="0" orientation="landscape"/>
  <headerFooter>
    <oddFooter>&amp;L&amp;8 Grupo Consominas · Equipes de campo&amp;R&amp;8 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D6FB8"/>
    <pageSetUpPr fitToPage="1"/>
  </sheetPr>
  <dimension ref="A1:Q101"/>
  <sheetViews>
    <sheetView showGridLines="0" zoomScale="95" zoomScaleNormal="95" workbookViewId="0">
      <pane ySplit="1" topLeftCell="A2" activePane="bottomLeft" state="frozen"/>
      <selection/>
      <selection pane="bottomLeft" activeCell="A1" sqref="A1"/>
    </sheetView>
  </sheetViews>
  <sheetFormatPr defaultColWidth="9" defaultRowHeight="15.5"/>
  <cols>
    <col min="1" max="1" width="13" customWidth="1"/>
    <col min="2" max="2" width="12" customWidth="1"/>
    <col min="3" max="3" width="16" customWidth="1"/>
    <col min="4" max="4" width="2" hidden="1" customWidth="1"/>
    <col min="5" max="5" width="14" customWidth="1"/>
    <col min="6" max="6" width="2" hidden="1" customWidth="1"/>
    <col min="7" max="7" width="42" customWidth="1"/>
    <col min="8" max="8" width="2" hidden="1" customWidth="1"/>
    <col min="9" max="10" width="14" customWidth="1"/>
    <col min="11" max="12" width="2" hidden="1" customWidth="1"/>
    <col min="13" max="13" width="34" customWidth="1"/>
    <col min="14" max="14" width="2" hidden="1" customWidth="1"/>
    <col min="15" max="15" width="16" customWidth="1"/>
    <col min="16" max="16" width="12" customWidth="1"/>
    <col min="17" max="17" width="2" hidden="1" customWidth="1"/>
  </cols>
  <sheetData>
    <row r="1" ht="40" customHeight="1" spans="1:17">
      <c r="A1" s="1" t="s">
        <v>38</v>
      </c>
      <c r="B1" s="1" t="s">
        <v>55</v>
      </c>
      <c r="C1" s="1" t="s">
        <v>56</v>
      </c>
      <c r="D1" s="2" t="s">
        <v>57</v>
      </c>
      <c r="E1" s="1" t="s">
        <v>25</v>
      </c>
      <c r="F1" s="2" t="s">
        <v>17</v>
      </c>
      <c r="G1" s="1" t="s">
        <v>58</v>
      </c>
      <c r="H1" s="3" t="s">
        <v>18</v>
      </c>
      <c r="I1" s="1" t="s">
        <v>59</v>
      </c>
      <c r="J1" s="1" t="s">
        <v>60</v>
      </c>
      <c r="K1" s="3" t="s">
        <v>61</v>
      </c>
      <c r="L1" s="3" t="s">
        <v>62</v>
      </c>
      <c r="M1" s="3" t="s">
        <v>63</v>
      </c>
      <c r="N1" s="3" t="s">
        <v>64</v>
      </c>
      <c r="O1" s="1" t="s">
        <v>65</v>
      </c>
      <c r="P1" s="1" t="s">
        <v>66</v>
      </c>
      <c r="Q1" s="2" t="s">
        <v>24</v>
      </c>
    </row>
    <row r="2" ht="24" customHeight="1" spans="1:17">
      <c r="A2" s="4"/>
      <c r="B2" s="4"/>
      <c r="C2" s="4"/>
      <c r="D2" s="4"/>
      <c r="E2" s="4"/>
      <c r="F2" s="5" t="s">
        <v>31</v>
      </c>
      <c r="G2" s="4"/>
      <c r="H2" s="6" t="str">
        <f xml:space="preserve">IF($G2="","",IFERROR(INDEX(EQUIPES!$B$2:$B$300,MATCH($G2,EQUIPES!$C$2:$C$300,0))&amp;"",""))</f>
        <v/>
      </c>
      <c r="I2" s="7"/>
      <c r="J2" s="7"/>
      <c r="K2" s="8" t="str">
        <f xml:space="preserve">IF($G2="","",IFERROR(IF(INDEX(EQUIPES!$D$2:$D$300,MATCH($G2,EQUIPES!$C$2:$C$300,0))="","",INDEX(EQUIPES!$D$2:$D$300,MATCH($G2,EQUIPES!$C$2:$C$300,0))),""))</f>
        <v/>
      </c>
      <c r="L2" s="8" t="str">
        <f xml:space="preserve">IF($G2="","",IFERROR(IF(INDEX(EQUIPES!$E$2:$E$300,MATCH($G2,EQUIPES!$C$2:$C$300,0))="","",INDEX(EQUIPES!$E$2:$E$300,MATCH($G2,EQUIPES!$C$2:$C$300,0))),""))</f>
        <v/>
      </c>
      <c r="M2" s="6" t="str">
        <f t="shared" ref="M2:M65" si="0" xml:space="preserve">IF($G2="","",IF(AND($K2="",$L2=""),"Equipe sem datas",IF(AND($I2="",$J2=""),"Preencher as datas da viatura",IF(AND($I2&lt;&gt;"",$K2&lt;&gt;"",$I2&lt;$K2),"Começa antes do início da equipe",IF(AND($J2&lt;&gt;"",$L2&lt;&gt;"",$J2&gt;$L2),"Termina depois do fim da equipe",IF(AND($I2&lt;&gt;"",$L2&lt;&gt;"",$I2&gt;$L2),"Começa depois que a equipe termina",IF(AND($J2&lt;&gt;"",$K2&lt;&gt;"",$J2&lt;$K2),"Termina antes de a equipe começar",IF(AND($J2="",$L2&lt;&gt;""),"Sem fim na viatura; a equipe tem fim",IF(AND($I2="",$K2&lt;&gt;""),"Sem início na viatura; a equipe tem início","Confere com a equipe")))))))))</f>
        <v/>
      </c>
      <c r="N2" s="6" t="str">
        <f xml:space="preserve">IF($G2="","",COUNTIFS(PESSOAS!$J$2:$J$600,$A2,PESSOAS!$C$2:$C$600,$G2,PESSOAS!$D$2:$D$600,"?*"))</f>
        <v/>
      </c>
      <c r="O2" s="4"/>
      <c r="P2" s="7"/>
      <c r="Q2" s="4"/>
    </row>
    <row r="3" ht="24" customHeight="1" spans="1:17">
      <c r="A3" s="4"/>
      <c r="B3" s="4"/>
      <c r="C3" s="4"/>
      <c r="D3" s="4"/>
      <c r="E3" s="4"/>
      <c r="F3" s="5" t="s">
        <v>31</v>
      </c>
      <c r="G3" s="4"/>
      <c r="H3" s="6" t="str">
        <f xml:space="preserve">IF($G3="","",IFERROR(INDEX(EQUIPES!$B$2:$B$300,MATCH($G3,EQUIPES!$C$2:$C$300,0))&amp;"",""))</f>
        <v/>
      </c>
      <c r="I3" s="7"/>
      <c r="J3" s="7"/>
      <c r="K3" s="8" t="str">
        <f xml:space="preserve">IF($G3="","",IFERROR(IF(INDEX(EQUIPES!$D$2:$D$300,MATCH($G3,EQUIPES!$C$2:$C$300,0))="","",INDEX(EQUIPES!$D$2:$D$300,MATCH($G3,EQUIPES!$C$2:$C$300,0))),""))</f>
        <v/>
      </c>
      <c r="L3" s="8" t="str">
        <f xml:space="preserve">IF($G3="","",IFERROR(IF(INDEX(EQUIPES!$E$2:$E$300,MATCH($G3,EQUIPES!$C$2:$C$300,0))="","",INDEX(EQUIPES!$E$2:$E$300,MATCH($G3,EQUIPES!$C$2:$C$300,0))),""))</f>
        <v/>
      </c>
      <c r="M3" s="6" t="str">
        <f t="shared" si="0"/>
        <v/>
      </c>
      <c r="N3" s="6" t="str">
        <f xml:space="preserve">IF($G3="","",COUNTIFS(PESSOAS!$J$2:$J$600,$A3,PESSOAS!$C$2:$C$600,$G3,PESSOAS!$D$2:$D$600,"?*"))</f>
        <v/>
      </c>
      <c r="O3" s="4"/>
      <c r="P3" s="7"/>
      <c r="Q3" s="4"/>
    </row>
    <row r="4" ht="24" customHeight="1" spans="1:17">
      <c r="A4" s="4"/>
      <c r="B4" s="4"/>
      <c r="C4" s="4"/>
      <c r="D4" s="4"/>
      <c r="E4" s="4"/>
      <c r="F4" s="5" t="s">
        <v>31</v>
      </c>
      <c r="G4" s="4"/>
      <c r="H4" s="6" t="str">
        <f xml:space="preserve">IF($G4="","",IFERROR(INDEX(EQUIPES!$B$2:$B$300,MATCH($G4,EQUIPES!$C$2:$C$300,0))&amp;"",""))</f>
        <v/>
      </c>
      <c r="I4" s="7"/>
      <c r="J4" s="7"/>
      <c r="K4" s="8" t="str">
        <f xml:space="preserve">IF($G4="","",IFERROR(IF(INDEX(EQUIPES!$D$2:$D$300,MATCH($G4,EQUIPES!$C$2:$C$300,0))="","",INDEX(EQUIPES!$D$2:$D$300,MATCH($G4,EQUIPES!$C$2:$C$300,0))),""))</f>
        <v/>
      </c>
      <c r="L4" s="8" t="str">
        <f xml:space="preserve">IF($G4="","",IFERROR(IF(INDEX(EQUIPES!$E$2:$E$300,MATCH($G4,EQUIPES!$C$2:$C$300,0))="","",INDEX(EQUIPES!$E$2:$E$300,MATCH($G4,EQUIPES!$C$2:$C$300,0))),""))</f>
        <v/>
      </c>
      <c r="M4" s="6" t="str">
        <f t="shared" si="0"/>
        <v/>
      </c>
      <c r="N4" s="6" t="str">
        <f xml:space="preserve">IF($G4="","",COUNTIFS(PESSOAS!$J$2:$J$600,$A4,PESSOAS!$C$2:$C$600,$G4,PESSOAS!$D$2:$D$600,"?*"))</f>
        <v/>
      </c>
      <c r="O4" s="4"/>
      <c r="P4" s="7"/>
      <c r="Q4" s="4"/>
    </row>
    <row r="5" ht="24" customHeight="1" spans="1:17">
      <c r="A5" s="4"/>
      <c r="B5" s="4"/>
      <c r="C5" s="4"/>
      <c r="D5" s="4"/>
      <c r="E5" s="4"/>
      <c r="F5" s="5" t="s">
        <v>31</v>
      </c>
      <c r="G5" s="4"/>
      <c r="H5" s="6" t="str">
        <f xml:space="preserve">IF($G5="","",IFERROR(INDEX(EQUIPES!$B$2:$B$300,MATCH($G5,EQUIPES!$C$2:$C$300,0))&amp;"",""))</f>
        <v/>
      </c>
      <c r="I5" s="7"/>
      <c r="J5" s="7"/>
      <c r="K5" s="8" t="str">
        <f xml:space="preserve">IF($G5="","",IFERROR(IF(INDEX(EQUIPES!$D$2:$D$300,MATCH($G5,EQUIPES!$C$2:$C$300,0))="","",INDEX(EQUIPES!$D$2:$D$300,MATCH($G5,EQUIPES!$C$2:$C$300,0))),""))</f>
        <v/>
      </c>
      <c r="L5" s="8" t="str">
        <f xml:space="preserve">IF($G5="","",IFERROR(IF(INDEX(EQUIPES!$E$2:$E$300,MATCH($G5,EQUIPES!$C$2:$C$300,0))="","",INDEX(EQUIPES!$E$2:$E$300,MATCH($G5,EQUIPES!$C$2:$C$300,0))),""))</f>
        <v/>
      </c>
      <c r="M5" s="6" t="str">
        <f t="shared" si="0"/>
        <v/>
      </c>
      <c r="N5" s="6" t="str">
        <f xml:space="preserve">IF($G5="","",COUNTIFS(PESSOAS!$J$2:$J$600,$A5,PESSOAS!$C$2:$C$600,$G5,PESSOAS!$D$2:$D$600,"?*"))</f>
        <v/>
      </c>
      <c r="O5" s="4"/>
      <c r="P5" s="7"/>
      <c r="Q5" s="4"/>
    </row>
    <row r="6" ht="24" customHeight="1" spans="1:17">
      <c r="A6" s="4"/>
      <c r="B6" s="4"/>
      <c r="C6" s="4"/>
      <c r="D6" s="4"/>
      <c r="E6" s="4"/>
      <c r="F6" s="5" t="s">
        <v>31</v>
      </c>
      <c r="G6" s="4"/>
      <c r="H6" s="6" t="str">
        <f xml:space="preserve">IF($G6="","",IFERROR(INDEX(EQUIPES!$B$2:$B$300,MATCH($G6,EQUIPES!$C$2:$C$300,0))&amp;"",""))</f>
        <v/>
      </c>
      <c r="I6" s="7"/>
      <c r="J6" s="7"/>
      <c r="K6" s="8" t="str">
        <f xml:space="preserve">IF($G6="","",IFERROR(IF(INDEX(EQUIPES!$D$2:$D$300,MATCH($G6,EQUIPES!$C$2:$C$300,0))="","",INDEX(EQUIPES!$D$2:$D$300,MATCH($G6,EQUIPES!$C$2:$C$300,0))),""))</f>
        <v/>
      </c>
      <c r="L6" s="8" t="str">
        <f xml:space="preserve">IF($G6="","",IFERROR(IF(INDEX(EQUIPES!$E$2:$E$300,MATCH($G6,EQUIPES!$C$2:$C$300,0))="","",INDEX(EQUIPES!$E$2:$E$300,MATCH($G6,EQUIPES!$C$2:$C$300,0))),""))</f>
        <v/>
      </c>
      <c r="M6" s="6" t="str">
        <f t="shared" si="0"/>
        <v/>
      </c>
      <c r="N6" s="6" t="str">
        <f xml:space="preserve">IF($G6="","",COUNTIFS(PESSOAS!$J$2:$J$600,$A6,PESSOAS!$C$2:$C$600,$G6,PESSOAS!$D$2:$D$600,"?*"))</f>
        <v/>
      </c>
      <c r="O6" s="4"/>
      <c r="P6" s="7"/>
      <c r="Q6" s="4"/>
    </row>
    <row r="7" ht="24" customHeight="1" spans="1:17">
      <c r="A7" s="4"/>
      <c r="B7" s="4"/>
      <c r="C7" s="4"/>
      <c r="D7" s="4"/>
      <c r="E7" s="4"/>
      <c r="F7" s="5" t="s">
        <v>31</v>
      </c>
      <c r="G7" s="4"/>
      <c r="H7" s="6" t="str">
        <f xml:space="preserve">IF($G7="","",IFERROR(INDEX(EQUIPES!$B$2:$B$300,MATCH($G7,EQUIPES!$C$2:$C$300,0))&amp;"",""))</f>
        <v/>
      </c>
      <c r="I7" s="7"/>
      <c r="J7" s="7"/>
      <c r="K7" s="8" t="str">
        <f xml:space="preserve">IF($G7="","",IFERROR(IF(INDEX(EQUIPES!$D$2:$D$300,MATCH($G7,EQUIPES!$C$2:$C$300,0))="","",INDEX(EQUIPES!$D$2:$D$300,MATCH($G7,EQUIPES!$C$2:$C$300,0))),""))</f>
        <v/>
      </c>
      <c r="L7" s="8" t="str">
        <f xml:space="preserve">IF($G7="","",IFERROR(IF(INDEX(EQUIPES!$E$2:$E$300,MATCH($G7,EQUIPES!$C$2:$C$300,0))="","",INDEX(EQUIPES!$E$2:$E$300,MATCH($G7,EQUIPES!$C$2:$C$300,0))),""))</f>
        <v/>
      </c>
      <c r="M7" s="6" t="str">
        <f t="shared" si="0"/>
        <v/>
      </c>
      <c r="N7" s="6" t="str">
        <f xml:space="preserve">IF($G7="","",COUNTIFS(PESSOAS!$J$2:$J$600,$A7,PESSOAS!$C$2:$C$600,$G7,PESSOAS!$D$2:$D$600,"?*"))</f>
        <v/>
      </c>
      <c r="O7" s="4"/>
      <c r="P7" s="7"/>
      <c r="Q7" s="4"/>
    </row>
    <row r="8" ht="24" customHeight="1" spans="1:17">
      <c r="A8" s="4"/>
      <c r="B8" s="4"/>
      <c r="C8" s="4"/>
      <c r="D8" s="4"/>
      <c r="E8" s="4"/>
      <c r="F8" s="5" t="s">
        <v>31</v>
      </c>
      <c r="G8" s="4"/>
      <c r="H8" s="6" t="str">
        <f xml:space="preserve">IF($G8="","",IFERROR(INDEX(EQUIPES!$B$2:$B$300,MATCH($G8,EQUIPES!$C$2:$C$300,0))&amp;"",""))</f>
        <v/>
      </c>
      <c r="I8" s="7"/>
      <c r="J8" s="7"/>
      <c r="K8" s="8" t="str">
        <f xml:space="preserve">IF($G8="","",IFERROR(IF(INDEX(EQUIPES!$D$2:$D$300,MATCH($G8,EQUIPES!$C$2:$C$300,0))="","",INDEX(EQUIPES!$D$2:$D$300,MATCH($G8,EQUIPES!$C$2:$C$300,0))),""))</f>
        <v/>
      </c>
      <c r="L8" s="8" t="str">
        <f xml:space="preserve">IF($G8="","",IFERROR(IF(INDEX(EQUIPES!$E$2:$E$300,MATCH($G8,EQUIPES!$C$2:$C$300,0))="","",INDEX(EQUIPES!$E$2:$E$300,MATCH($G8,EQUIPES!$C$2:$C$300,0))),""))</f>
        <v/>
      </c>
      <c r="M8" s="6" t="str">
        <f t="shared" si="0"/>
        <v/>
      </c>
      <c r="N8" s="6" t="str">
        <f xml:space="preserve">IF($G8="","",COUNTIFS(PESSOAS!$J$2:$J$600,$A8,PESSOAS!$C$2:$C$600,$G8,PESSOAS!$D$2:$D$600,"?*"))</f>
        <v/>
      </c>
      <c r="O8" s="4"/>
      <c r="P8" s="7"/>
      <c r="Q8" s="4"/>
    </row>
    <row r="9" ht="24" customHeight="1" spans="1:17">
      <c r="A9" s="4"/>
      <c r="B9" s="4"/>
      <c r="C9" s="4"/>
      <c r="D9" s="4"/>
      <c r="E9" s="4"/>
      <c r="F9" s="5" t="s">
        <v>31</v>
      </c>
      <c r="G9" s="4"/>
      <c r="H9" s="6" t="str">
        <f xml:space="preserve">IF($G9="","",IFERROR(INDEX(EQUIPES!$B$2:$B$300,MATCH($G9,EQUIPES!$C$2:$C$300,0))&amp;"",""))</f>
        <v/>
      </c>
      <c r="I9" s="7"/>
      <c r="J9" s="7"/>
      <c r="K9" s="8" t="str">
        <f xml:space="preserve">IF($G9="","",IFERROR(IF(INDEX(EQUIPES!$D$2:$D$300,MATCH($G9,EQUIPES!$C$2:$C$300,0))="","",INDEX(EQUIPES!$D$2:$D$300,MATCH($G9,EQUIPES!$C$2:$C$300,0))),""))</f>
        <v/>
      </c>
      <c r="L9" s="8" t="str">
        <f xml:space="preserve">IF($G9="","",IFERROR(IF(INDEX(EQUIPES!$E$2:$E$300,MATCH($G9,EQUIPES!$C$2:$C$300,0))="","",INDEX(EQUIPES!$E$2:$E$300,MATCH($G9,EQUIPES!$C$2:$C$300,0))),""))</f>
        <v/>
      </c>
      <c r="M9" s="6" t="str">
        <f t="shared" si="0"/>
        <v/>
      </c>
      <c r="N9" s="6" t="str">
        <f xml:space="preserve">IF($G9="","",COUNTIFS(PESSOAS!$J$2:$J$600,$A9,PESSOAS!$C$2:$C$600,$G9,PESSOAS!$D$2:$D$600,"?*"))</f>
        <v/>
      </c>
      <c r="O9" s="4"/>
      <c r="P9" s="7"/>
      <c r="Q9" s="4"/>
    </row>
    <row r="10" ht="24" customHeight="1" spans="1:17">
      <c r="A10" s="4"/>
      <c r="B10" s="4"/>
      <c r="C10" s="4"/>
      <c r="D10" s="4"/>
      <c r="E10" s="4"/>
      <c r="F10" s="5" t="s">
        <v>31</v>
      </c>
      <c r="G10" s="4"/>
      <c r="H10" s="6" t="str">
        <f xml:space="preserve">IF($G10="","",IFERROR(INDEX(EQUIPES!$B$2:$B$300,MATCH($G10,EQUIPES!$C$2:$C$300,0))&amp;"",""))</f>
        <v/>
      </c>
      <c r="I10" s="7"/>
      <c r="J10" s="7"/>
      <c r="K10" s="8" t="str">
        <f xml:space="preserve">IF($G10="","",IFERROR(IF(INDEX(EQUIPES!$D$2:$D$300,MATCH($G10,EQUIPES!$C$2:$C$300,0))="","",INDEX(EQUIPES!$D$2:$D$300,MATCH($G10,EQUIPES!$C$2:$C$300,0))),""))</f>
        <v/>
      </c>
      <c r="L10" s="8" t="str">
        <f xml:space="preserve">IF($G10="","",IFERROR(IF(INDEX(EQUIPES!$E$2:$E$300,MATCH($G10,EQUIPES!$C$2:$C$300,0))="","",INDEX(EQUIPES!$E$2:$E$300,MATCH($G10,EQUIPES!$C$2:$C$300,0))),""))</f>
        <v/>
      </c>
      <c r="M10" s="6" t="str">
        <f t="shared" si="0"/>
        <v/>
      </c>
      <c r="N10" s="6" t="str">
        <f xml:space="preserve">IF($G10="","",COUNTIFS(PESSOAS!$J$2:$J$600,$A10,PESSOAS!$C$2:$C$600,$G10,PESSOAS!$D$2:$D$600,"?*"))</f>
        <v/>
      </c>
      <c r="O10" s="4"/>
      <c r="P10" s="7"/>
      <c r="Q10" s="4"/>
    </row>
    <row r="11" ht="24" customHeight="1" spans="1:17">
      <c r="A11" s="4"/>
      <c r="B11" s="4"/>
      <c r="C11" s="4"/>
      <c r="D11" s="4"/>
      <c r="E11" s="4"/>
      <c r="F11" s="5" t="s">
        <v>31</v>
      </c>
      <c r="G11" s="4"/>
      <c r="H11" s="6" t="str">
        <f xml:space="preserve">IF($G11="","",IFERROR(INDEX(EQUIPES!$B$2:$B$300,MATCH($G11,EQUIPES!$C$2:$C$300,0))&amp;"",""))</f>
        <v/>
      </c>
      <c r="I11" s="7"/>
      <c r="J11" s="7"/>
      <c r="K11" s="8" t="str">
        <f xml:space="preserve">IF($G11="","",IFERROR(IF(INDEX(EQUIPES!$D$2:$D$300,MATCH($G11,EQUIPES!$C$2:$C$300,0))="","",INDEX(EQUIPES!$D$2:$D$300,MATCH($G11,EQUIPES!$C$2:$C$300,0))),""))</f>
        <v/>
      </c>
      <c r="L11" s="8" t="str">
        <f xml:space="preserve">IF($G11="","",IFERROR(IF(INDEX(EQUIPES!$E$2:$E$300,MATCH($G11,EQUIPES!$C$2:$C$300,0))="","",INDEX(EQUIPES!$E$2:$E$300,MATCH($G11,EQUIPES!$C$2:$C$300,0))),""))</f>
        <v/>
      </c>
      <c r="M11" s="6" t="str">
        <f t="shared" si="0"/>
        <v/>
      </c>
      <c r="N11" s="6" t="str">
        <f xml:space="preserve">IF($G11="","",COUNTIFS(PESSOAS!$J$2:$J$600,$A11,PESSOAS!$C$2:$C$600,$G11,PESSOAS!$D$2:$D$600,"?*"))</f>
        <v/>
      </c>
      <c r="O11" s="4"/>
      <c r="P11" s="7"/>
      <c r="Q11" s="4"/>
    </row>
    <row r="12" ht="24" customHeight="1" spans="1:17">
      <c r="A12" s="4"/>
      <c r="B12" s="4"/>
      <c r="C12" s="4"/>
      <c r="D12" s="4"/>
      <c r="E12" s="4"/>
      <c r="F12" s="5" t="s">
        <v>31</v>
      </c>
      <c r="G12" s="4"/>
      <c r="H12" s="6" t="str">
        <f xml:space="preserve">IF($G12="","",IFERROR(INDEX(EQUIPES!$B$2:$B$300,MATCH($G12,EQUIPES!$C$2:$C$300,0))&amp;"",""))</f>
        <v/>
      </c>
      <c r="I12" s="7"/>
      <c r="J12" s="7"/>
      <c r="K12" s="8" t="str">
        <f xml:space="preserve">IF($G12="","",IFERROR(IF(INDEX(EQUIPES!$D$2:$D$300,MATCH($G12,EQUIPES!$C$2:$C$300,0))="","",INDEX(EQUIPES!$D$2:$D$300,MATCH($G12,EQUIPES!$C$2:$C$300,0))),""))</f>
        <v/>
      </c>
      <c r="L12" s="8" t="str">
        <f xml:space="preserve">IF($G12="","",IFERROR(IF(INDEX(EQUIPES!$E$2:$E$300,MATCH($G12,EQUIPES!$C$2:$C$300,0))="","",INDEX(EQUIPES!$E$2:$E$300,MATCH($G12,EQUIPES!$C$2:$C$300,0))),""))</f>
        <v/>
      </c>
      <c r="M12" s="6" t="str">
        <f t="shared" si="0"/>
        <v/>
      </c>
      <c r="N12" s="6" t="str">
        <f xml:space="preserve">IF($G12="","",COUNTIFS(PESSOAS!$J$2:$J$600,$A12,PESSOAS!$C$2:$C$600,$G12,PESSOAS!$D$2:$D$600,"?*"))</f>
        <v/>
      </c>
      <c r="O12" s="4"/>
      <c r="P12" s="7"/>
      <c r="Q12" s="4"/>
    </row>
    <row r="13" ht="24" customHeight="1" spans="1:17">
      <c r="A13" s="4"/>
      <c r="B13" s="4"/>
      <c r="C13" s="4"/>
      <c r="D13" s="4"/>
      <c r="E13" s="4"/>
      <c r="F13" s="5" t="s">
        <v>31</v>
      </c>
      <c r="G13" s="4"/>
      <c r="H13" s="6" t="str">
        <f xml:space="preserve">IF($G13="","",IFERROR(INDEX(EQUIPES!$B$2:$B$300,MATCH($G13,EQUIPES!$C$2:$C$300,0))&amp;"",""))</f>
        <v/>
      </c>
      <c r="I13" s="7"/>
      <c r="J13" s="7"/>
      <c r="K13" s="8" t="str">
        <f xml:space="preserve">IF($G13="","",IFERROR(IF(INDEX(EQUIPES!$D$2:$D$300,MATCH($G13,EQUIPES!$C$2:$C$300,0))="","",INDEX(EQUIPES!$D$2:$D$300,MATCH($G13,EQUIPES!$C$2:$C$300,0))),""))</f>
        <v/>
      </c>
      <c r="L13" s="8" t="str">
        <f xml:space="preserve">IF($G13="","",IFERROR(IF(INDEX(EQUIPES!$E$2:$E$300,MATCH($G13,EQUIPES!$C$2:$C$300,0))="","",INDEX(EQUIPES!$E$2:$E$300,MATCH($G13,EQUIPES!$C$2:$C$300,0))),""))</f>
        <v/>
      </c>
      <c r="M13" s="6" t="str">
        <f t="shared" si="0"/>
        <v/>
      </c>
      <c r="N13" s="6" t="str">
        <f xml:space="preserve">IF($G13="","",COUNTIFS(PESSOAS!$J$2:$J$600,$A13,PESSOAS!$C$2:$C$600,$G13,PESSOAS!$D$2:$D$600,"?*"))</f>
        <v/>
      </c>
      <c r="O13" s="4"/>
      <c r="P13" s="7"/>
      <c r="Q13" s="4"/>
    </row>
    <row r="14" ht="24" customHeight="1" spans="1:17">
      <c r="A14" s="4"/>
      <c r="B14" s="4"/>
      <c r="C14" s="4"/>
      <c r="D14" s="4"/>
      <c r="E14" s="4"/>
      <c r="F14" s="5" t="s">
        <v>31</v>
      </c>
      <c r="G14" s="4"/>
      <c r="H14" s="6" t="str">
        <f xml:space="preserve">IF($G14="","",IFERROR(INDEX(EQUIPES!$B$2:$B$300,MATCH($G14,EQUIPES!$C$2:$C$300,0))&amp;"",""))</f>
        <v/>
      </c>
      <c r="I14" s="7"/>
      <c r="J14" s="7"/>
      <c r="K14" s="8" t="str">
        <f xml:space="preserve">IF($G14="","",IFERROR(IF(INDEX(EQUIPES!$D$2:$D$300,MATCH($G14,EQUIPES!$C$2:$C$300,0))="","",INDEX(EQUIPES!$D$2:$D$300,MATCH($G14,EQUIPES!$C$2:$C$300,0))),""))</f>
        <v/>
      </c>
      <c r="L14" s="8" t="str">
        <f xml:space="preserve">IF($G14="","",IFERROR(IF(INDEX(EQUIPES!$E$2:$E$300,MATCH($G14,EQUIPES!$C$2:$C$300,0))="","",INDEX(EQUIPES!$E$2:$E$300,MATCH($G14,EQUIPES!$C$2:$C$300,0))),""))</f>
        <v/>
      </c>
      <c r="M14" s="6" t="str">
        <f t="shared" si="0"/>
        <v/>
      </c>
      <c r="N14" s="6" t="str">
        <f xml:space="preserve">IF($G14="","",COUNTIFS(PESSOAS!$J$2:$J$600,$A14,PESSOAS!$C$2:$C$600,$G14,PESSOAS!$D$2:$D$600,"?*"))</f>
        <v/>
      </c>
      <c r="O14" s="4"/>
      <c r="P14" s="7"/>
      <c r="Q14" s="4"/>
    </row>
    <row r="15" ht="24" customHeight="1" spans="1:17">
      <c r="A15" s="4"/>
      <c r="B15" s="4"/>
      <c r="C15" s="4"/>
      <c r="D15" s="4"/>
      <c r="E15" s="4"/>
      <c r="F15" s="5" t="s">
        <v>31</v>
      </c>
      <c r="G15" s="4"/>
      <c r="H15" s="6" t="str">
        <f xml:space="preserve">IF($G15="","",IFERROR(INDEX(EQUIPES!$B$2:$B$300,MATCH($G15,EQUIPES!$C$2:$C$300,0))&amp;"",""))</f>
        <v/>
      </c>
      <c r="I15" s="7"/>
      <c r="J15" s="7"/>
      <c r="K15" s="8" t="str">
        <f xml:space="preserve">IF($G15="","",IFERROR(IF(INDEX(EQUIPES!$D$2:$D$300,MATCH($G15,EQUIPES!$C$2:$C$300,0))="","",INDEX(EQUIPES!$D$2:$D$300,MATCH($G15,EQUIPES!$C$2:$C$300,0))),""))</f>
        <v/>
      </c>
      <c r="L15" s="8" t="str">
        <f xml:space="preserve">IF($G15="","",IFERROR(IF(INDEX(EQUIPES!$E$2:$E$300,MATCH($G15,EQUIPES!$C$2:$C$300,0))="","",INDEX(EQUIPES!$E$2:$E$300,MATCH($G15,EQUIPES!$C$2:$C$300,0))),""))</f>
        <v/>
      </c>
      <c r="M15" s="6" t="str">
        <f t="shared" si="0"/>
        <v/>
      </c>
      <c r="N15" s="6" t="str">
        <f xml:space="preserve">IF($G15="","",COUNTIFS(PESSOAS!$J$2:$J$600,$A15,PESSOAS!$C$2:$C$600,$G15,PESSOAS!$D$2:$D$600,"?*"))</f>
        <v/>
      </c>
      <c r="O15" s="4"/>
      <c r="P15" s="7"/>
      <c r="Q15" s="4"/>
    </row>
    <row r="16" ht="24" customHeight="1" spans="1:17">
      <c r="A16" s="4"/>
      <c r="B16" s="4"/>
      <c r="C16" s="4"/>
      <c r="D16" s="4"/>
      <c r="E16" s="4"/>
      <c r="F16" s="5" t="s">
        <v>31</v>
      </c>
      <c r="G16" s="4"/>
      <c r="H16" s="6" t="str">
        <f xml:space="preserve">IF($G16="","",IFERROR(INDEX(EQUIPES!$B$2:$B$300,MATCH($G16,EQUIPES!$C$2:$C$300,0))&amp;"",""))</f>
        <v/>
      </c>
      <c r="I16" s="7"/>
      <c r="J16" s="7"/>
      <c r="K16" s="8" t="str">
        <f xml:space="preserve">IF($G16="","",IFERROR(IF(INDEX(EQUIPES!$D$2:$D$300,MATCH($G16,EQUIPES!$C$2:$C$300,0))="","",INDEX(EQUIPES!$D$2:$D$300,MATCH($G16,EQUIPES!$C$2:$C$300,0))),""))</f>
        <v/>
      </c>
      <c r="L16" s="8" t="str">
        <f xml:space="preserve">IF($G16="","",IFERROR(IF(INDEX(EQUIPES!$E$2:$E$300,MATCH($G16,EQUIPES!$C$2:$C$300,0))="","",INDEX(EQUIPES!$E$2:$E$300,MATCH($G16,EQUIPES!$C$2:$C$300,0))),""))</f>
        <v/>
      </c>
      <c r="M16" s="6" t="str">
        <f t="shared" si="0"/>
        <v/>
      </c>
      <c r="N16" s="6" t="str">
        <f xml:space="preserve">IF($G16="","",COUNTIFS(PESSOAS!$J$2:$J$600,$A16,PESSOAS!$C$2:$C$600,$G16,PESSOAS!$D$2:$D$600,"?*"))</f>
        <v/>
      </c>
      <c r="O16" s="4"/>
      <c r="P16" s="7"/>
      <c r="Q16" s="4"/>
    </row>
    <row r="17" ht="24" customHeight="1" spans="1:17">
      <c r="A17" s="4"/>
      <c r="B17" s="4"/>
      <c r="C17" s="4"/>
      <c r="D17" s="4"/>
      <c r="E17" s="4"/>
      <c r="F17" s="5" t="s">
        <v>31</v>
      </c>
      <c r="G17" s="4"/>
      <c r="H17" s="6" t="str">
        <f xml:space="preserve">IF($G17="","",IFERROR(INDEX(EQUIPES!$B$2:$B$300,MATCH($G17,EQUIPES!$C$2:$C$300,0))&amp;"",""))</f>
        <v/>
      </c>
      <c r="I17" s="7"/>
      <c r="J17" s="7"/>
      <c r="K17" s="8" t="str">
        <f xml:space="preserve">IF($G17="","",IFERROR(IF(INDEX(EQUIPES!$D$2:$D$300,MATCH($G17,EQUIPES!$C$2:$C$300,0))="","",INDEX(EQUIPES!$D$2:$D$300,MATCH($G17,EQUIPES!$C$2:$C$300,0))),""))</f>
        <v/>
      </c>
      <c r="L17" s="8" t="str">
        <f xml:space="preserve">IF($G17="","",IFERROR(IF(INDEX(EQUIPES!$E$2:$E$300,MATCH($G17,EQUIPES!$C$2:$C$300,0))="","",INDEX(EQUIPES!$E$2:$E$300,MATCH($G17,EQUIPES!$C$2:$C$300,0))),""))</f>
        <v/>
      </c>
      <c r="M17" s="6" t="str">
        <f t="shared" si="0"/>
        <v/>
      </c>
      <c r="N17" s="6" t="str">
        <f xml:space="preserve">IF($G17="","",COUNTIFS(PESSOAS!$J$2:$J$600,$A17,PESSOAS!$C$2:$C$600,$G17,PESSOAS!$D$2:$D$600,"?*"))</f>
        <v/>
      </c>
      <c r="O17" s="4"/>
      <c r="P17" s="7"/>
      <c r="Q17" s="4"/>
    </row>
    <row r="18" ht="24" customHeight="1" spans="1:17">
      <c r="A18" s="4"/>
      <c r="B18" s="4"/>
      <c r="C18" s="4"/>
      <c r="D18" s="4"/>
      <c r="E18" s="4"/>
      <c r="F18" s="5" t="s">
        <v>31</v>
      </c>
      <c r="G18" s="4"/>
      <c r="H18" s="6" t="str">
        <f xml:space="preserve">IF($G18="","",IFERROR(INDEX(EQUIPES!$B$2:$B$300,MATCH($G18,EQUIPES!$C$2:$C$300,0))&amp;"",""))</f>
        <v/>
      </c>
      <c r="I18" s="7"/>
      <c r="J18" s="7"/>
      <c r="K18" s="8" t="str">
        <f xml:space="preserve">IF($G18="","",IFERROR(IF(INDEX(EQUIPES!$D$2:$D$300,MATCH($G18,EQUIPES!$C$2:$C$300,0))="","",INDEX(EQUIPES!$D$2:$D$300,MATCH($G18,EQUIPES!$C$2:$C$300,0))),""))</f>
        <v/>
      </c>
      <c r="L18" s="8" t="str">
        <f xml:space="preserve">IF($G18="","",IFERROR(IF(INDEX(EQUIPES!$E$2:$E$300,MATCH($G18,EQUIPES!$C$2:$C$300,0))="","",INDEX(EQUIPES!$E$2:$E$300,MATCH($G18,EQUIPES!$C$2:$C$300,0))),""))</f>
        <v/>
      </c>
      <c r="M18" s="6" t="str">
        <f t="shared" si="0"/>
        <v/>
      </c>
      <c r="N18" s="6" t="str">
        <f xml:space="preserve">IF($G18="","",COUNTIFS(PESSOAS!$J$2:$J$600,$A18,PESSOAS!$C$2:$C$600,$G18,PESSOAS!$D$2:$D$600,"?*"))</f>
        <v/>
      </c>
      <c r="O18" s="4"/>
      <c r="P18" s="7"/>
      <c r="Q18" s="4"/>
    </row>
    <row r="19" ht="24" customHeight="1" spans="1:17">
      <c r="A19" s="4"/>
      <c r="B19" s="4"/>
      <c r="C19" s="4"/>
      <c r="D19" s="4"/>
      <c r="E19" s="4"/>
      <c r="F19" s="5" t="s">
        <v>31</v>
      </c>
      <c r="G19" s="4"/>
      <c r="H19" s="6" t="str">
        <f xml:space="preserve">IF($G19="","",IFERROR(INDEX(EQUIPES!$B$2:$B$300,MATCH($G19,EQUIPES!$C$2:$C$300,0))&amp;"",""))</f>
        <v/>
      </c>
      <c r="I19" s="7"/>
      <c r="J19" s="7"/>
      <c r="K19" s="8" t="str">
        <f xml:space="preserve">IF($G19="","",IFERROR(IF(INDEX(EQUIPES!$D$2:$D$300,MATCH($G19,EQUIPES!$C$2:$C$300,0))="","",INDEX(EQUIPES!$D$2:$D$300,MATCH($G19,EQUIPES!$C$2:$C$300,0))),""))</f>
        <v/>
      </c>
      <c r="L19" s="8" t="str">
        <f xml:space="preserve">IF($G19="","",IFERROR(IF(INDEX(EQUIPES!$E$2:$E$300,MATCH($G19,EQUIPES!$C$2:$C$300,0))="","",INDEX(EQUIPES!$E$2:$E$300,MATCH($G19,EQUIPES!$C$2:$C$300,0))),""))</f>
        <v/>
      </c>
      <c r="M19" s="6" t="str">
        <f t="shared" si="0"/>
        <v/>
      </c>
      <c r="N19" s="6" t="str">
        <f xml:space="preserve">IF($G19="","",COUNTIFS(PESSOAS!$J$2:$J$600,$A19,PESSOAS!$C$2:$C$600,$G19,PESSOAS!$D$2:$D$600,"?*"))</f>
        <v/>
      </c>
      <c r="O19" s="4"/>
      <c r="P19" s="7"/>
      <c r="Q19" s="4"/>
    </row>
    <row r="20" ht="24" customHeight="1" spans="1:17">
      <c r="A20" s="4"/>
      <c r="B20" s="4"/>
      <c r="C20" s="4"/>
      <c r="D20" s="4"/>
      <c r="E20" s="4"/>
      <c r="F20" s="5" t="s">
        <v>31</v>
      </c>
      <c r="G20" s="4"/>
      <c r="H20" s="6" t="str">
        <f xml:space="preserve">IF($G20="","",IFERROR(INDEX(EQUIPES!$B$2:$B$300,MATCH($G20,EQUIPES!$C$2:$C$300,0))&amp;"",""))</f>
        <v/>
      </c>
      <c r="I20" s="7"/>
      <c r="J20" s="7"/>
      <c r="K20" s="8" t="str">
        <f xml:space="preserve">IF($G20="","",IFERROR(IF(INDEX(EQUIPES!$D$2:$D$300,MATCH($G20,EQUIPES!$C$2:$C$300,0))="","",INDEX(EQUIPES!$D$2:$D$300,MATCH($G20,EQUIPES!$C$2:$C$300,0))),""))</f>
        <v/>
      </c>
      <c r="L20" s="8" t="str">
        <f xml:space="preserve">IF($G20="","",IFERROR(IF(INDEX(EQUIPES!$E$2:$E$300,MATCH($G20,EQUIPES!$C$2:$C$300,0))="","",INDEX(EQUIPES!$E$2:$E$300,MATCH($G20,EQUIPES!$C$2:$C$300,0))),""))</f>
        <v/>
      </c>
      <c r="M20" s="6" t="str">
        <f t="shared" si="0"/>
        <v/>
      </c>
      <c r="N20" s="6" t="str">
        <f xml:space="preserve">IF($G20="","",COUNTIFS(PESSOAS!$J$2:$J$600,$A20,PESSOAS!$C$2:$C$600,$G20,PESSOAS!$D$2:$D$600,"?*"))</f>
        <v/>
      </c>
      <c r="O20" s="4"/>
      <c r="P20" s="7"/>
      <c r="Q20" s="4"/>
    </row>
    <row r="21" ht="24" customHeight="1" spans="1:17">
      <c r="A21" s="4"/>
      <c r="B21" s="4"/>
      <c r="C21" s="4"/>
      <c r="D21" s="4"/>
      <c r="E21" s="4"/>
      <c r="F21" s="5" t="s">
        <v>31</v>
      </c>
      <c r="G21" s="4"/>
      <c r="H21" s="6" t="str">
        <f xml:space="preserve">IF($G21="","",IFERROR(INDEX(EQUIPES!$B$2:$B$300,MATCH($G21,EQUIPES!$C$2:$C$300,0))&amp;"",""))</f>
        <v/>
      </c>
      <c r="I21" s="7"/>
      <c r="J21" s="7"/>
      <c r="K21" s="8" t="str">
        <f xml:space="preserve">IF($G21="","",IFERROR(IF(INDEX(EQUIPES!$D$2:$D$300,MATCH($G21,EQUIPES!$C$2:$C$300,0))="","",INDEX(EQUIPES!$D$2:$D$300,MATCH($G21,EQUIPES!$C$2:$C$300,0))),""))</f>
        <v/>
      </c>
      <c r="L21" s="8" t="str">
        <f xml:space="preserve">IF($G21="","",IFERROR(IF(INDEX(EQUIPES!$E$2:$E$300,MATCH($G21,EQUIPES!$C$2:$C$300,0))="","",INDEX(EQUIPES!$E$2:$E$300,MATCH($G21,EQUIPES!$C$2:$C$300,0))),""))</f>
        <v/>
      </c>
      <c r="M21" s="6" t="str">
        <f t="shared" si="0"/>
        <v/>
      </c>
      <c r="N21" s="6" t="str">
        <f xml:space="preserve">IF($G21="","",COUNTIFS(PESSOAS!$J$2:$J$600,$A21,PESSOAS!$C$2:$C$600,$G21,PESSOAS!$D$2:$D$600,"?*"))</f>
        <v/>
      </c>
      <c r="O21" s="4"/>
      <c r="P21" s="7"/>
      <c r="Q21" s="4"/>
    </row>
    <row r="22" ht="24" customHeight="1" spans="1:17">
      <c r="A22" s="4"/>
      <c r="B22" s="4"/>
      <c r="C22" s="4"/>
      <c r="D22" s="4"/>
      <c r="E22" s="4"/>
      <c r="F22" s="5" t="s">
        <v>31</v>
      </c>
      <c r="G22" s="4"/>
      <c r="H22" s="6" t="str">
        <f xml:space="preserve">IF($G22="","",IFERROR(INDEX(EQUIPES!$B$2:$B$300,MATCH($G22,EQUIPES!$C$2:$C$300,0))&amp;"",""))</f>
        <v/>
      </c>
      <c r="I22" s="7"/>
      <c r="J22" s="7"/>
      <c r="K22" s="8" t="str">
        <f xml:space="preserve">IF($G22="","",IFERROR(IF(INDEX(EQUIPES!$D$2:$D$300,MATCH($G22,EQUIPES!$C$2:$C$300,0))="","",INDEX(EQUIPES!$D$2:$D$300,MATCH($G22,EQUIPES!$C$2:$C$300,0))),""))</f>
        <v/>
      </c>
      <c r="L22" s="8" t="str">
        <f xml:space="preserve">IF($G22="","",IFERROR(IF(INDEX(EQUIPES!$E$2:$E$300,MATCH($G22,EQUIPES!$C$2:$C$300,0))="","",INDEX(EQUIPES!$E$2:$E$300,MATCH($G22,EQUIPES!$C$2:$C$300,0))),""))</f>
        <v/>
      </c>
      <c r="M22" s="6" t="str">
        <f t="shared" si="0"/>
        <v/>
      </c>
      <c r="N22" s="6" t="str">
        <f xml:space="preserve">IF($G22="","",COUNTIFS(PESSOAS!$J$2:$J$600,$A22,PESSOAS!$C$2:$C$600,$G22,PESSOAS!$D$2:$D$600,"?*"))</f>
        <v/>
      </c>
      <c r="O22" s="4"/>
      <c r="P22" s="7"/>
      <c r="Q22" s="4"/>
    </row>
    <row r="23" ht="24" customHeight="1" spans="1:17">
      <c r="A23" s="4"/>
      <c r="B23" s="4"/>
      <c r="C23" s="4"/>
      <c r="D23" s="4"/>
      <c r="E23" s="4"/>
      <c r="F23" s="5" t="s">
        <v>31</v>
      </c>
      <c r="G23" s="4"/>
      <c r="H23" s="6" t="str">
        <f xml:space="preserve">IF($G23="","",IFERROR(INDEX(EQUIPES!$B$2:$B$300,MATCH($G23,EQUIPES!$C$2:$C$300,0))&amp;"",""))</f>
        <v/>
      </c>
      <c r="I23" s="7"/>
      <c r="J23" s="7"/>
      <c r="K23" s="8" t="str">
        <f xml:space="preserve">IF($G23="","",IFERROR(IF(INDEX(EQUIPES!$D$2:$D$300,MATCH($G23,EQUIPES!$C$2:$C$300,0))="","",INDEX(EQUIPES!$D$2:$D$300,MATCH($G23,EQUIPES!$C$2:$C$300,0))),""))</f>
        <v/>
      </c>
      <c r="L23" s="8" t="str">
        <f xml:space="preserve">IF($G23="","",IFERROR(IF(INDEX(EQUIPES!$E$2:$E$300,MATCH($G23,EQUIPES!$C$2:$C$300,0))="","",INDEX(EQUIPES!$E$2:$E$300,MATCH($G23,EQUIPES!$C$2:$C$300,0))),""))</f>
        <v/>
      </c>
      <c r="M23" s="6" t="str">
        <f t="shared" si="0"/>
        <v/>
      </c>
      <c r="N23" s="6" t="str">
        <f xml:space="preserve">IF($G23="","",COUNTIFS(PESSOAS!$J$2:$J$600,$A23,PESSOAS!$C$2:$C$600,$G23,PESSOAS!$D$2:$D$600,"?*"))</f>
        <v/>
      </c>
      <c r="O23" s="4"/>
      <c r="P23" s="7"/>
      <c r="Q23" s="4"/>
    </row>
    <row r="24" ht="24" customHeight="1" spans="1:17">
      <c r="A24" s="4"/>
      <c r="B24" s="4"/>
      <c r="C24" s="4"/>
      <c r="D24" s="4"/>
      <c r="E24" s="4"/>
      <c r="F24" s="5" t="s">
        <v>31</v>
      </c>
      <c r="G24" s="4"/>
      <c r="H24" s="6" t="str">
        <f xml:space="preserve">IF($G24="","",IFERROR(INDEX(EQUIPES!$B$2:$B$300,MATCH($G24,EQUIPES!$C$2:$C$300,0))&amp;"",""))</f>
        <v/>
      </c>
      <c r="I24" s="7"/>
      <c r="J24" s="7"/>
      <c r="K24" s="8" t="str">
        <f xml:space="preserve">IF($G24="","",IFERROR(IF(INDEX(EQUIPES!$D$2:$D$300,MATCH($G24,EQUIPES!$C$2:$C$300,0))="","",INDEX(EQUIPES!$D$2:$D$300,MATCH($G24,EQUIPES!$C$2:$C$300,0))),""))</f>
        <v/>
      </c>
      <c r="L24" s="8" t="str">
        <f xml:space="preserve">IF($G24="","",IFERROR(IF(INDEX(EQUIPES!$E$2:$E$300,MATCH($G24,EQUIPES!$C$2:$C$300,0))="","",INDEX(EQUIPES!$E$2:$E$300,MATCH($G24,EQUIPES!$C$2:$C$300,0))),""))</f>
        <v/>
      </c>
      <c r="M24" s="6" t="str">
        <f t="shared" si="0"/>
        <v/>
      </c>
      <c r="N24" s="6" t="str">
        <f xml:space="preserve">IF($G24="","",COUNTIFS(PESSOAS!$J$2:$J$600,$A24,PESSOAS!$C$2:$C$600,$G24,PESSOAS!$D$2:$D$600,"?*"))</f>
        <v/>
      </c>
      <c r="O24" s="4"/>
      <c r="P24" s="7"/>
      <c r="Q24" s="4"/>
    </row>
    <row r="25" ht="24" customHeight="1" spans="1:17">
      <c r="A25" s="4"/>
      <c r="B25" s="4"/>
      <c r="C25" s="4"/>
      <c r="D25" s="4"/>
      <c r="E25" s="4"/>
      <c r="F25" s="5" t="s">
        <v>31</v>
      </c>
      <c r="G25" s="4"/>
      <c r="H25" s="6" t="str">
        <f xml:space="preserve">IF($G25="","",IFERROR(INDEX(EQUIPES!$B$2:$B$300,MATCH($G25,EQUIPES!$C$2:$C$300,0))&amp;"",""))</f>
        <v/>
      </c>
      <c r="I25" s="7"/>
      <c r="J25" s="7"/>
      <c r="K25" s="8" t="str">
        <f xml:space="preserve">IF($G25="","",IFERROR(IF(INDEX(EQUIPES!$D$2:$D$300,MATCH($G25,EQUIPES!$C$2:$C$300,0))="","",INDEX(EQUIPES!$D$2:$D$300,MATCH($G25,EQUIPES!$C$2:$C$300,0))),""))</f>
        <v/>
      </c>
      <c r="L25" s="8" t="str">
        <f xml:space="preserve">IF($G25="","",IFERROR(IF(INDEX(EQUIPES!$E$2:$E$300,MATCH($G25,EQUIPES!$C$2:$C$300,0))="","",INDEX(EQUIPES!$E$2:$E$300,MATCH($G25,EQUIPES!$C$2:$C$300,0))),""))</f>
        <v/>
      </c>
      <c r="M25" s="6" t="str">
        <f t="shared" si="0"/>
        <v/>
      </c>
      <c r="N25" s="6" t="str">
        <f xml:space="preserve">IF($G25="","",COUNTIFS(PESSOAS!$J$2:$J$600,$A25,PESSOAS!$C$2:$C$600,$G25,PESSOAS!$D$2:$D$600,"?*"))</f>
        <v/>
      </c>
      <c r="O25" s="4"/>
      <c r="P25" s="7"/>
      <c r="Q25" s="4"/>
    </row>
    <row r="26" ht="24" customHeight="1" spans="1:17">
      <c r="A26" s="4"/>
      <c r="B26" s="4"/>
      <c r="C26" s="4"/>
      <c r="D26" s="4"/>
      <c r="E26" s="4"/>
      <c r="F26" s="5" t="s">
        <v>31</v>
      </c>
      <c r="G26" s="4"/>
      <c r="H26" s="6" t="str">
        <f xml:space="preserve">IF($G26="","",IFERROR(INDEX(EQUIPES!$B$2:$B$300,MATCH($G26,EQUIPES!$C$2:$C$300,0))&amp;"",""))</f>
        <v/>
      </c>
      <c r="I26" s="7"/>
      <c r="J26" s="7"/>
      <c r="K26" s="8" t="str">
        <f xml:space="preserve">IF($G26="","",IFERROR(IF(INDEX(EQUIPES!$D$2:$D$300,MATCH($G26,EQUIPES!$C$2:$C$300,0))="","",INDEX(EQUIPES!$D$2:$D$300,MATCH($G26,EQUIPES!$C$2:$C$300,0))),""))</f>
        <v/>
      </c>
      <c r="L26" s="8" t="str">
        <f xml:space="preserve">IF($G26="","",IFERROR(IF(INDEX(EQUIPES!$E$2:$E$300,MATCH($G26,EQUIPES!$C$2:$C$300,0))="","",INDEX(EQUIPES!$E$2:$E$300,MATCH($G26,EQUIPES!$C$2:$C$300,0))),""))</f>
        <v/>
      </c>
      <c r="M26" s="6" t="str">
        <f t="shared" si="0"/>
        <v/>
      </c>
      <c r="N26" s="6" t="str">
        <f xml:space="preserve">IF($G26="","",COUNTIFS(PESSOAS!$J$2:$J$600,$A26,PESSOAS!$C$2:$C$600,$G26,PESSOAS!$D$2:$D$600,"?*"))</f>
        <v/>
      </c>
      <c r="O26" s="4"/>
      <c r="P26" s="7"/>
      <c r="Q26" s="4"/>
    </row>
    <row r="27" ht="24" customHeight="1" spans="1:17">
      <c r="A27" s="4"/>
      <c r="B27" s="4"/>
      <c r="C27" s="4"/>
      <c r="D27" s="4"/>
      <c r="E27" s="4"/>
      <c r="F27" s="5" t="s">
        <v>31</v>
      </c>
      <c r="G27" s="4"/>
      <c r="H27" s="6" t="str">
        <f xml:space="preserve">IF($G27="","",IFERROR(INDEX(EQUIPES!$B$2:$B$300,MATCH($G27,EQUIPES!$C$2:$C$300,0))&amp;"",""))</f>
        <v/>
      </c>
      <c r="I27" s="7"/>
      <c r="J27" s="7"/>
      <c r="K27" s="8" t="str">
        <f xml:space="preserve">IF($G27="","",IFERROR(IF(INDEX(EQUIPES!$D$2:$D$300,MATCH($G27,EQUIPES!$C$2:$C$300,0))="","",INDEX(EQUIPES!$D$2:$D$300,MATCH($G27,EQUIPES!$C$2:$C$300,0))),""))</f>
        <v/>
      </c>
      <c r="L27" s="8" t="str">
        <f xml:space="preserve">IF($G27="","",IFERROR(IF(INDEX(EQUIPES!$E$2:$E$300,MATCH($G27,EQUIPES!$C$2:$C$300,0))="","",INDEX(EQUIPES!$E$2:$E$300,MATCH($G27,EQUIPES!$C$2:$C$300,0))),""))</f>
        <v/>
      </c>
      <c r="M27" s="6" t="str">
        <f t="shared" si="0"/>
        <v/>
      </c>
      <c r="N27" s="6" t="str">
        <f xml:space="preserve">IF($G27="","",COUNTIFS(PESSOAS!$J$2:$J$600,$A27,PESSOAS!$C$2:$C$600,$G27,PESSOAS!$D$2:$D$600,"?*"))</f>
        <v/>
      </c>
      <c r="O27" s="4"/>
      <c r="P27" s="7"/>
      <c r="Q27" s="4"/>
    </row>
    <row r="28" ht="24" customHeight="1" spans="1:17">
      <c r="A28" s="4"/>
      <c r="B28" s="4"/>
      <c r="C28" s="4"/>
      <c r="D28" s="4"/>
      <c r="E28" s="4"/>
      <c r="F28" s="5" t="s">
        <v>31</v>
      </c>
      <c r="G28" s="4"/>
      <c r="H28" s="6" t="str">
        <f xml:space="preserve">IF($G28="","",IFERROR(INDEX(EQUIPES!$B$2:$B$300,MATCH($G28,EQUIPES!$C$2:$C$300,0))&amp;"",""))</f>
        <v/>
      </c>
      <c r="I28" s="7"/>
      <c r="J28" s="7"/>
      <c r="K28" s="8" t="str">
        <f xml:space="preserve">IF($G28="","",IFERROR(IF(INDEX(EQUIPES!$D$2:$D$300,MATCH($G28,EQUIPES!$C$2:$C$300,0))="","",INDEX(EQUIPES!$D$2:$D$300,MATCH($G28,EQUIPES!$C$2:$C$300,0))),""))</f>
        <v/>
      </c>
      <c r="L28" s="8" t="str">
        <f xml:space="preserve">IF($G28="","",IFERROR(IF(INDEX(EQUIPES!$E$2:$E$300,MATCH($G28,EQUIPES!$C$2:$C$300,0))="","",INDEX(EQUIPES!$E$2:$E$300,MATCH($G28,EQUIPES!$C$2:$C$300,0))),""))</f>
        <v/>
      </c>
      <c r="M28" s="6" t="str">
        <f t="shared" si="0"/>
        <v/>
      </c>
      <c r="N28" s="6" t="str">
        <f xml:space="preserve">IF($G28="","",COUNTIFS(PESSOAS!$J$2:$J$600,$A28,PESSOAS!$C$2:$C$600,$G28,PESSOAS!$D$2:$D$600,"?*"))</f>
        <v/>
      </c>
      <c r="O28" s="4"/>
      <c r="P28" s="7"/>
      <c r="Q28" s="4"/>
    </row>
    <row r="29" ht="24" customHeight="1" spans="1:17">
      <c r="A29" s="4"/>
      <c r="B29" s="4"/>
      <c r="C29" s="4"/>
      <c r="D29" s="4"/>
      <c r="E29" s="4"/>
      <c r="F29" s="5" t="s">
        <v>31</v>
      </c>
      <c r="G29" s="4"/>
      <c r="H29" s="6" t="str">
        <f xml:space="preserve">IF($G29="","",IFERROR(INDEX(EQUIPES!$B$2:$B$300,MATCH($G29,EQUIPES!$C$2:$C$300,0))&amp;"",""))</f>
        <v/>
      </c>
      <c r="I29" s="7"/>
      <c r="J29" s="7"/>
      <c r="K29" s="8" t="str">
        <f xml:space="preserve">IF($G29="","",IFERROR(IF(INDEX(EQUIPES!$D$2:$D$300,MATCH($G29,EQUIPES!$C$2:$C$300,0))="","",INDEX(EQUIPES!$D$2:$D$300,MATCH($G29,EQUIPES!$C$2:$C$300,0))),""))</f>
        <v/>
      </c>
      <c r="L29" s="8" t="str">
        <f xml:space="preserve">IF($G29="","",IFERROR(IF(INDEX(EQUIPES!$E$2:$E$300,MATCH($G29,EQUIPES!$C$2:$C$300,0))="","",INDEX(EQUIPES!$E$2:$E$300,MATCH($G29,EQUIPES!$C$2:$C$300,0))),""))</f>
        <v/>
      </c>
      <c r="M29" s="6" t="str">
        <f t="shared" si="0"/>
        <v/>
      </c>
      <c r="N29" s="6" t="str">
        <f xml:space="preserve">IF($G29="","",COUNTIFS(PESSOAS!$J$2:$J$600,$A29,PESSOAS!$C$2:$C$600,$G29,PESSOAS!$D$2:$D$600,"?*"))</f>
        <v/>
      </c>
      <c r="O29" s="4"/>
      <c r="P29" s="7"/>
      <c r="Q29" s="4"/>
    </row>
    <row r="30" ht="24" customHeight="1" spans="1:17">
      <c r="A30" s="4"/>
      <c r="B30" s="4"/>
      <c r="C30" s="4"/>
      <c r="D30" s="4"/>
      <c r="E30" s="4"/>
      <c r="F30" s="5" t="s">
        <v>31</v>
      </c>
      <c r="G30" s="4"/>
      <c r="H30" s="6" t="str">
        <f xml:space="preserve">IF($G30="","",IFERROR(INDEX(EQUIPES!$B$2:$B$300,MATCH($G30,EQUIPES!$C$2:$C$300,0))&amp;"",""))</f>
        <v/>
      </c>
      <c r="I30" s="7"/>
      <c r="J30" s="7"/>
      <c r="K30" s="8" t="str">
        <f xml:space="preserve">IF($G30="","",IFERROR(IF(INDEX(EQUIPES!$D$2:$D$300,MATCH($G30,EQUIPES!$C$2:$C$300,0))="","",INDEX(EQUIPES!$D$2:$D$300,MATCH($G30,EQUIPES!$C$2:$C$300,0))),""))</f>
        <v/>
      </c>
      <c r="L30" s="8" t="str">
        <f xml:space="preserve">IF($G30="","",IFERROR(IF(INDEX(EQUIPES!$E$2:$E$300,MATCH($G30,EQUIPES!$C$2:$C$300,0))="","",INDEX(EQUIPES!$E$2:$E$300,MATCH($G30,EQUIPES!$C$2:$C$300,0))),""))</f>
        <v/>
      </c>
      <c r="M30" s="6" t="str">
        <f t="shared" si="0"/>
        <v/>
      </c>
      <c r="N30" s="6" t="str">
        <f xml:space="preserve">IF($G30="","",COUNTIFS(PESSOAS!$J$2:$J$600,$A30,PESSOAS!$C$2:$C$600,$G30,PESSOAS!$D$2:$D$600,"?*"))</f>
        <v/>
      </c>
      <c r="O30" s="4"/>
      <c r="P30" s="7"/>
      <c r="Q30" s="4"/>
    </row>
    <row r="31" ht="24" customHeight="1" spans="1:17">
      <c r="A31" s="4"/>
      <c r="B31" s="4"/>
      <c r="C31" s="4"/>
      <c r="D31" s="4"/>
      <c r="E31" s="4"/>
      <c r="F31" s="5" t="s">
        <v>31</v>
      </c>
      <c r="G31" s="4"/>
      <c r="H31" s="6" t="str">
        <f xml:space="preserve">IF($G31="","",IFERROR(INDEX(EQUIPES!$B$2:$B$300,MATCH($G31,EQUIPES!$C$2:$C$300,0))&amp;"",""))</f>
        <v/>
      </c>
      <c r="I31" s="7"/>
      <c r="J31" s="7"/>
      <c r="K31" s="8" t="str">
        <f xml:space="preserve">IF($G31="","",IFERROR(IF(INDEX(EQUIPES!$D$2:$D$300,MATCH($G31,EQUIPES!$C$2:$C$300,0))="","",INDEX(EQUIPES!$D$2:$D$300,MATCH($G31,EQUIPES!$C$2:$C$300,0))),""))</f>
        <v/>
      </c>
      <c r="L31" s="8" t="str">
        <f xml:space="preserve">IF($G31="","",IFERROR(IF(INDEX(EQUIPES!$E$2:$E$300,MATCH($G31,EQUIPES!$C$2:$C$300,0))="","",INDEX(EQUIPES!$E$2:$E$300,MATCH($G31,EQUIPES!$C$2:$C$300,0))),""))</f>
        <v/>
      </c>
      <c r="M31" s="6" t="str">
        <f t="shared" si="0"/>
        <v/>
      </c>
      <c r="N31" s="6" t="str">
        <f xml:space="preserve">IF($G31="","",COUNTIFS(PESSOAS!$J$2:$J$600,$A31,PESSOAS!$C$2:$C$600,$G31,PESSOAS!$D$2:$D$600,"?*"))</f>
        <v/>
      </c>
      <c r="O31" s="4"/>
      <c r="P31" s="7"/>
      <c r="Q31" s="4"/>
    </row>
    <row r="32" ht="24" customHeight="1" spans="1:17">
      <c r="A32" s="4"/>
      <c r="B32" s="4"/>
      <c r="C32" s="4"/>
      <c r="D32" s="4"/>
      <c r="E32" s="4"/>
      <c r="F32" s="5" t="s">
        <v>31</v>
      </c>
      <c r="G32" s="4"/>
      <c r="H32" s="6" t="str">
        <f xml:space="preserve">IF($G32="","",IFERROR(INDEX(EQUIPES!$B$2:$B$300,MATCH($G32,EQUIPES!$C$2:$C$300,0))&amp;"",""))</f>
        <v/>
      </c>
      <c r="I32" s="7"/>
      <c r="J32" s="7"/>
      <c r="K32" s="8" t="str">
        <f xml:space="preserve">IF($G32="","",IFERROR(IF(INDEX(EQUIPES!$D$2:$D$300,MATCH($G32,EQUIPES!$C$2:$C$300,0))="","",INDEX(EQUIPES!$D$2:$D$300,MATCH($G32,EQUIPES!$C$2:$C$300,0))),""))</f>
        <v/>
      </c>
      <c r="L32" s="8" t="str">
        <f xml:space="preserve">IF($G32="","",IFERROR(IF(INDEX(EQUIPES!$E$2:$E$300,MATCH($G32,EQUIPES!$C$2:$C$300,0))="","",INDEX(EQUIPES!$E$2:$E$300,MATCH($G32,EQUIPES!$C$2:$C$300,0))),""))</f>
        <v/>
      </c>
      <c r="M32" s="6" t="str">
        <f t="shared" si="0"/>
        <v/>
      </c>
      <c r="N32" s="6" t="str">
        <f xml:space="preserve">IF($G32="","",COUNTIFS(PESSOAS!$J$2:$J$600,$A32,PESSOAS!$C$2:$C$600,$G32,PESSOAS!$D$2:$D$600,"?*"))</f>
        <v/>
      </c>
      <c r="O32" s="4"/>
      <c r="P32" s="7"/>
      <c r="Q32" s="4"/>
    </row>
    <row r="33" ht="24" customHeight="1" spans="1:17">
      <c r="A33" s="4"/>
      <c r="B33" s="4"/>
      <c r="C33" s="4"/>
      <c r="D33" s="4"/>
      <c r="E33" s="4"/>
      <c r="F33" s="5" t="s">
        <v>31</v>
      </c>
      <c r="G33" s="4"/>
      <c r="H33" s="6" t="str">
        <f xml:space="preserve">IF($G33="","",IFERROR(INDEX(EQUIPES!$B$2:$B$300,MATCH($G33,EQUIPES!$C$2:$C$300,0))&amp;"",""))</f>
        <v/>
      </c>
      <c r="I33" s="7"/>
      <c r="J33" s="7"/>
      <c r="K33" s="8" t="str">
        <f xml:space="preserve">IF($G33="","",IFERROR(IF(INDEX(EQUIPES!$D$2:$D$300,MATCH($G33,EQUIPES!$C$2:$C$300,0))="","",INDEX(EQUIPES!$D$2:$D$300,MATCH($G33,EQUIPES!$C$2:$C$300,0))),""))</f>
        <v/>
      </c>
      <c r="L33" s="8" t="str">
        <f xml:space="preserve">IF($G33="","",IFERROR(IF(INDEX(EQUIPES!$E$2:$E$300,MATCH($G33,EQUIPES!$C$2:$C$300,0))="","",INDEX(EQUIPES!$E$2:$E$300,MATCH($G33,EQUIPES!$C$2:$C$300,0))),""))</f>
        <v/>
      </c>
      <c r="M33" s="6" t="str">
        <f t="shared" si="0"/>
        <v/>
      </c>
      <c r="N33" s="6" t="str">
        <f xml:space="preserve">IF($G33="","",COUNTIFS(PESSOAS!$J$2:$J$600,$A33,PESSOAS!$C$2:$C$600,$G33,PESSOAS!$D$2:$D$600,"?*"))</f>
        <v/>
      </c>
      <c r="O33" s="4"/>
      <c r="P33" s="7"/>
      <c r="Q33" s="4"/>
    </row>
    <row r="34" ht="24" customHeight="1" spans="1:17">
      <c r="A34" s="4"/>
      <c r="B34" s="4"/>
      <c r="C34" s="4"/>
      <c r="D34" s="4"/>
      <c r="E34" s="4"/>
      <c r="F34" s="5" t="s">
        <v>31</v>
      </c>
      <c r="G34" s="4"/>
      <c r="H34" s="6" t="str">
        <f xml:space="preserve">IF($G34="","",IFERROR(INDEX(EQUIPES!$B$2:$B$300,MATCH($G34,EQUIPES!$C$2:$C$300,0))&amp;"",""))</f>
        <v/>
      </c>
      <c r="I34" s="7"/>
      <c r="J34" s="7"/>
      <c r="K34" s="8" t="str">
        <f xml:space="preserve">IF($G34="","",IFERROR(IF(INDEX(EQUIPES!$D$2:$D$300,MATCH($G34,EQUIPES!$C$2:$C$300,0))="","",INDEX(EQUIPES!$D$2:$D$300,MATCH($G34,EQUIPES!$C$2:$C$300,0))),""))</f>
        <v/>
      </c>
      <c r="L34" s="8" t="str">
        <f xml:space="preserve">IF($G34="","",IFERROR(IF(INDEX(EQUIPES!$E$2:$E$300,MATCH($G34,EQUIPES!$C$2:$C$300,0))="","",INDEX(EQUIPES!$E$2:$E$300,MATCH($G34,EQUIPES!$C$2:$C$300,0))),""))</f>
        <v/>
      </c>
      <c r="M34" s="6" t="str">
        <f t="shared" si="0"/>
        <v/>
      </c>
      <c r="N34" s="6" t="str">
        <f xml:space="preserve">IF($G34="","",COUNTIFS(PESSOAS!$J$2:$J$600,$A34,PESSOAS!$C$2:$C$600,$G34,PESSOAS!$D$2:$D$600,"?*"))</f>
        <v/>
      </c>
      <c r="O34" s="4"/>
      <c r="P34" s="7"/>
      <c r="Q34" s="4"/>
    </row>
    <row r="35" ht="24" customHeight="1" spans="1:17">
      <c r="A35" s="4"/>
      <c r="B35" s="4"/>
      <c r="C35" s="4"/>
      <c r="D35" s="4"/>
      <c r="E35" s="4"/>
      <c r="F35" s="5" t="s">
        <v>31</v>
      </c>
      <c r="G35" s="4"/>
      <c r="H35" s="6" t="str">
        <f xml:space="preserve">IF($G35="","",IFERROR(INDEX(EQUIPES!$B$2:$B$300,MATCH($G35,EQUIPES!$C$2:$C$300,0))&amp;"",""))</f>
        <v/>
      </c>
      <c r="I35" s="7"/>
      <c r="J35" s="7"/>
      <c r="K35" s="8" t="str">
        <f xml:space="preserve">IF($G35="","",IFERROR(IF(INDEX(EQUIPES!$D$2:$D$300,MATCH($G35,EQUIPES!$C$2:$C$300,0))="","",INDEX(EQUIPES!$D$2:$D$300,MATCH($G35,EQUIPES!$C$2:$C$300,0))),""))</f>
        <v/>
      </c>
      <c r="L35" s="8" t="str">
        <f xml:space="preserve">IF($G35="","",IFERROR(IF(INDEX(EQUIPES!$E$2:$E$300,MATCH($G35,EQUIPES!$C$2:$C$300,0))="","",INDEX(EQUIPES!$E$2:$E$300,MATCH($G35,EQUIPES!$C$2:$C$300,0))),""))</f>
        <v/>
      </c>
      <c r="M35" s="6" t="str">
        <f t="shared" si="0"/>
        <v/>
      </c>
      <c r="N35" s="6" t="str">
        <f xml:space="preserve">IF($G35="","",COUNTIFS(PESSOAS!$J$2:$J$600,$A35,PESSOAS!$C$2:$C$600,$G35,PESSOAS!$D$2:$D$600,"?*"))</f>
        <v/>
      </c>
      <c r="O35" s="4"/>
      <c r="P35" s="7"/>
      <c r="Q35" s="4"/>
    </row>
    <row r="36" ht="24" customHeight="1" spans="1:17">
      <c r="A36" s="4"/>
      <c r="B36" s="4"/>
      <c r="C36" s="4"/>
      <c r="D36" s="4"/>
      <c r="E36" s="4"/>
      <c r="F36" s="5" t="s">
        <v>31</v>
      </c>
      <c r="G36" s="4"/>
      <c r="H36" s="6" t="str">
        <f xml:space="preserve">IF($G36="","",IFERROR(INDEX(EQUIPES!$B$2:$B$300,MATCH($G36,EQUIPES!$C$2:$C$300,0))&amp;"",""))</f>
        <v/>
      </c>
      <c r="I36" s="7"/>
      <c r="J36" s="7"/>
      <c r="K36" s="8" t="str">
        <f xml:space="preserve">IF($G36="","",IFERROR(IF(INDEX(EQUIPES!$D$2:$D$300,MATCH($G36,EQUIPES!$C$2:$C$300,0))="","",INDEX(EQUIPES!$D$2:$D$300,MATCH($G36,EQUIPES!$C$2:$C$300,0))),""))</f>
        <v/>
      </c>
      <c r="L36" s="8" t="str">
        <f xml:space="preserve">IF($G36="","",IFERROR(IF(INDEX(EQUIPES!$E$2:$E$300,MATCH($G36,EQUIPES!$C$2:$C$300,0))="","",INDEX(EQUIPES!$E$2:$E$300,MATCH($G36,EQUIPES!$C$2:$C$300,0))),""))</f>
        <v/>
      </c>
      <c r="M36" s="6" t="str">
        <f t="shared" si="0"/>
        <v/>
      </c>
      <c r="N36" s="6" t="str">
        <f xml:space="preserve">IF($G36="","",COUNTIFS(PESSOAS!$J$2:$J$600,$A36,PESSOAS!$C$2:$C$600,$G36,PESSOAS!$D$2:$D$600,"?*"))</f>
        <v/>
      </c>
      <c r="O36" s="4"/>
      <c r="P36" s="7"/>
      <c r="Q36" s="4"/>
    </row>
    <row r="37" ht="24" customHeight="1" spans="1:17">
      <c r="A37" s="4"/>
      <c r="B37" s="4"/>
      <c r="C37" s="4"/>
      <c r="D37" s="4"/>
      <c r="E37" s="4"/>
      <c r="F37" s="5" t="s">
        <v>31</v>
      </c>
      <c r="G37" s="4"/>
      <c r="H37" s="6" t="str">
        <f xml:space="preserve">IF($G37="","",IFERROR(INDEX(EQUIPES!$B$2:$B$300,MATCH($G37,EQUIPES!$C$2:$C$300,0))&amp;"",""))</f>
        <v/>
      </c>
      <c r="I37" s="7"/>
      <c r="J37" s="7"/>
      <c r="K37" s="8" t="str">
        <f xml:space="preserve">IF($G37="","",IFERROR(IF(INDEX(EQUIPES!$D$2:$D$300,MATCH($G37,EQUIPES!$C$2:$C$300,0))="","",INDEX(EQUIPES!$D$2:$D$300,MATCH($G37,EQUIPES!$C$2:$C$300,0))),""))</f>
        <v/>
      </c>
      <c r="L37" s="8" t="str">
        <f xml:space="preserve">IF($G37="","",IFERROR(IF(INDEX(EQUIPES!$E$2:$E$300,MATCH($G37,EQUIPES!$C$2:$C$300,0))="","",INDEX(EQUIPES!$E$2:$E$300,MATCH($G37,EQUIPES!$C$2:$C$300,0))),""))</f>
        <v/>
      </c>
      <c r="M37" s="6" t="str">
        <f t="shared" si="0"/>
        <v/>
      </c>
      <c r="N37" s="6" t="str">
        <f xml:space="preserve">IF($G37="","",COUNTIFS(PESSOAS!$J$2:$J$600,$A37,PESSOAS!$C$2:$C$600,$G37,PESSOAS!$D$2:$D$600,"?*"))</f>
        <v/>
      </c>
      <c r="O37" s="4"/>
      <c r="P37" s="7"/>
      <c r="Q37" s="4"/>
    </row>
    <row r="38" ht="24" customHeight="1" spans="1:17">
      <c r="A38" s="4"/>
      <c r="B38" s="4"/>
      <c r="C38" s="4"/>
      <c r="D38" s="4"/>
      <c r="E38" s="4"/>
      <c r="F38" s="5" t="s">
        <v>31</v>
      </c>
      <c r="G38" s="4"/>
      <c r="H38" s="6" t="str">
        <f xml:space="preserve">IF($G38="","",IFERROR(INDEX(EQUIPES!$B$2:$B$300,MATCH($G38,EQUIPES!$C$2:$C$300,0))&amp;"",""))</f>
        <v/>
      </c>
      <c r="I38" s="7"/>
      <c r="J38" s="7"/>
      <c r="K38" s="8" t="str">
        <f xml:space="preserve">IF($G38="","",IFERROR(IF(INDEX(EQUIPES!$D$2:$D$300,MATCH($G38,EQUIPES!$C$2:$C$300,0))="","",INDEX(EQUIPES!$D$2:$D$300,MATCH($G38,EQUIPES!$C$2:$C$300,0))),""))</f>
        <v/>
      </c>
      <c r="L38" s="8" t="str">
        <f xml:space="preserve">IF($G38="","",IFERROR(IF(INDEX(EQUIPES!$E$2:$E$300,MATCH($G38,EQUIPES!$C$2:$C$300,0))="","",INDEX(EQUIPES!$E$2:$E$300,MATCH($G38,EQUIPES!$C$2:$C$300,0))),""))</f>
        <v/>
      </c>
      <c r="M38" s="6" t="str">
        <f t="shared" si="0"/>
        <v/>
      </c>
      <c r="N38" s="6" t="str">
        <f xml:space="preserve">IF($G38="","",COUNTIFS(PESSOAS!$J$2:$J$600,$A38,PESSOAS!$C$2:$C$600,$G38,PESSOAS!$D$2:$D$600,"?*"))</f>
        <v/>
      </c>
      <c r="O38" s="4"/>
      <c r="P38" s="7"/>
      <c r="Q38" s="4"/>
    </row>
    <row r="39" ht="24" customHeight="1" spans="1:17">
      <c r="A39" s="4"/>
      <c r="B39" s="4"/>
      <c r="C39" s="4"/>
      <c r="D39" s="4"/>
      <c r="E39" s="4"/>
      <c r="F39" s="5" t="s">
        <v>31</v>
      </c>
      <c r="G39" s="4"/>
      <c r="H39" s="6" t="str">
        <f xml:space="preserve">IF($G39="","",IFERROR(INDEX(EQUIPES!$B$2:$B$300,MATCH($G39,EQUIPES!$C$2:$C$300,0))&amp;"",""))</f>
        <v/>
      </c>
      <c r="I39" s="7"/>
      <c r="J39" s="7"/>
      <c r="K39" s="8" t="str">
        <f xml:space="preserve">IF($G39="","",IFERROR(IF(INDEX(EQUIPES!$D$2:$D$300,MATCH($G39,EQUIPES!$C$2:$C$300,0))="","",INDEX(EQUIPES!$D$2:$D$300,MATCH($G39,EQUIPES!$C$2:$C$300,0))),""))</f>
        <v/>
      </c>
      <c r="L39" s="8" t="str">
        <f xml:space="preserve">IF($G39="","",IFERROR(IF(INDEX(EQUIPES!$E$2:$E$300,MATCH($G39,EQUIPES!$C$2:$C$300,0))="","",INDEX(EQUIPES!$E$2:$E$300,MATCH($G39,EQUIPES!$C$2:$C$300,0))),""))</f>
        <v/>
      </c>
      <c r="M39" s="6" t="str">
        <f t="shared" si="0"/>
        <v/>
      </c>
      <c r="N39" s="6" t="str">
        <f xml:space="preserve">IF($G39="","",COUNTIFS(PESSOAS!$J$2:$J$600,$A39,PESSOAS!$C$2:$C$600,$G39,PESSOAS!$D$2:$D$600,"?*"))</f>
        <v/>
      </c>
      <c r="O39" s="4"/>
      <c r="P39" s="7"/>
      <c r="Q39" s="4"/>
    </row>
    <row r="40" ht="24" customHeight="1" spans="1:17">
      <c r="A40" s="4"/>
      <c r="B40" s="4"/>
      <c r="C40" s="4"/>
      <c r="D40" s="4"/>
      <c r="E40" s="4"/>
      <c r="F40" s="5" t="s">
        <v>31</v>
      </c>
      <c r="G40" s="4"/>
      <c r="H40" s="6" t="str">
        <f xml:space="preserve">IF($G40="","",IFERROR(INDEX(EQUIPES!$B$2:$B$300,MATCH($G40,EQUIPES!$C$2:$C$300,0))&amp;"",""))</f>
        <v/>
      </c>
      <c r="I40" s="7"/>
      <c r="J40" s="7"/>
      <c r="K40" s="8" t="str">
        <f xml:space="preserve">IF($G40="","",IFERROR(IF(INDEX(EQUIPES!$D$2:$D$300,MATCH($G40,EQUIPES!$C$2:$C$300,0))="","",INDEX(EQUIPES!$D$2:$D$300,MATCH($G40,EQUIPES!$C$2:$C$300,0))),""))</f>
        <v/>
      </c>
      <c r="L40" s="8" t="str">
        <f xml:space="preserve">IF($G40="","",IFERROR(IF(INDEX(EQUIPES!$E$2:$E$300,MATCH($G40,EQUIPES!$C$2:$C$300,0))="","",INDEX(EQUIPES!$E$2:$E$300,MATCH($G40,EQUIPES!$C$2:$C$300,0))),""))</f>
        <v/>
      </c>
      <c r="M40" s="6" t="str">
        <f t="shared" si="0"/>
        <v/>
      </c>
      <c r="N40" s="6" t="str">
        <f xml:space="preserve">IF($G40="","",COUNTIFS(PESSOAS!$J$2:$J$600,$A40,PESSOAS!$C$2:$C$600,$G40,PESSOAS!$D$2:$D$600,"?*"))</f>
        <v/>
      </c>
      <c r="O40" s="4"/>
      <c r="P40" s="7"/>
      <c r="Q40" s="4"/>
    </row>
    <row r="41" ht="24" customHeight="1" spans="1:17">
      <c r="A41" s="4"/>
      <c r="B41" s="4"/>
      <c r="C41" s="4"/>
      <c r="D41" s="4"/>
      <c r="E41" s="4"/>
      <c r="F41" s="5" t="s">
        <v>31</v>
      </c>
      <c r="G41" s="4"/>
      <c r="H41" s="6" t="str">
        <f xml:space="preserve">IF($G41="","",IFERROR(INDEX(EQUIPES!$B$2:$B$300,MATCH($G41,EQUIPES!$C$2:$C$300,0))&amp;"",""))</f>
        <v/>
      </c>
      <c r="I41" s="7"/>
      <c r="J41" s="7"/>
      <c r="K41" s="8" t="str">
        <f xml:space="preserve">IF($G41="","",IFERROR(IF(INDEX(EQUIPES!$D$2:$D$300,MATCH($G41,EQUIPES!$C$2:$C$300,0))="","",INDEX(EQUIPES!$D$2:$D$300,MATCH($G41,EQUIPES!$C$2:$C$300,0))),""))</f>
        <v/>
      </c>
      <c r="L41" s="8" t="str">
        <f xml:space="preserve">IF($G41="","",IFERROR(IF(INDEX(EQUIPES!$E$2:$E$300,MATCH($G41,EQUIPES!$C$2:$C$300,0))="","",INDEX(EQUIPES!$E$2:$E$300,MATCH($G41,EQUIPES!$C$2:$C$300,0))),""))</f>
        <v/>
      </c>
      <c r="M41" s="6" t="str">
        <f t="shared" si="0"/>
        <v/>
      </c>
      <c r="N41" s="6" t="str">
        <f xml:space="preserve">IF($G41="","",COUNTIFS(PESSOAS!$J$2:$J$600,$A41,PESSOAS!$C$2:$C$600,$G41,PESSOAS!$D$2:$D$600,"?*"))</f>
        <v/>
      </c>
      <c r="O41" s="4"/>
      <c r="P41" s="7"/>
      <c r="Q41" s="4"/>
    </row>
    <row r="42" ht="24" customHeight="1" spans="1:17">
      <c r="A42" s="4"/>
      <c r="B42" s="4"/>
      <c r="C42" s="4"/>
      <c r="D42" s="4"/>
      <c r="E42" s="4"/>
      <c r="F42" s="5" t="s">
        <v>31</v>
      </c>
      <c r="G42" s="4"/>
      <c r="H42" s="6" t="str">
        <f xml:space="preserve">IF($G42="","",IFERROR(INDEX(EQUIPES!$B$2:$B$300,MATCH($G42,EQUIPES!$C$2:$C$300,0))&amp;"",""))</f>
        <v/>
      </c>
      <c r="I42" s="7"/>
      <c r="J42" s="7"/>
      <c r="K42" s="8" t="str">
        <f xml:space="preserve">IF($G42="","",IFERROR(IF(INDEX(EQUIPES!$D$2:$D$300,MATCH($G42,EQUIPES!$C$2:$C$300,0))="","",INDEX(EQUIPES!$D$2:$D$300,MATCH($G42,EQUIPES!$C$2:$C$300,0))),""))</f>
        <v/>
      </c>
      <c r="L42" s="8" t="str">
        <f xml:space="preserve">IF($G42="","",IFERROR(IF(INDEX(EQUIPES!$E$2:$E$300,MATCH($G42,EQUIPES!$C$2:$C$300,0))="","",INDEX(EQUIPES!$E$2:$E$300,MATCH($G42,EQUIPES!$C$2:$C$300,0))),""))</f>
        <v/>
      </c>
      <c r="M42" s="6" t="str">
        <f t="shared" si="0"/>
        <v/>
      </c>
      <c r="N42" s="6" t="str">
        <f xml:space="preserve">IF($G42="","",COUNTIFS(PESSOAS!$J$2:$J$600,$A42,PESSOAS!$C$2:$C$600,$G42,PESSOAS!$D$2:$D$600,"?*"))</f>
        <v/>
      </c>
      <c r="O42" s="4"/>
      <c r="P42" s="7"/>
      <c r="Q42" s="4"/>
    </row>
    <row r="43" ht="24" customHeight="1" spans="1:17">
      <c r="A43" s="4"/>
      <c r="B43" s="4"/>
      <c r="C43" s="4"/>
      <c r="D43" s="4"/>
      <c r="E43" s="4"/>
      <c r="F43" s="5" t="s">
        <v>31</v>
      </c>
      <c r="G43" s="4"/>
      <c r="H43" s="6" t="str">
        <f xml:space="preserve">IF($G43="","",IFERROR(INDEX(EQUIPES!$B$2:$B$300,MATCH($G43,EQUIPES!$C$2:$C$300,0))&amp;"",""))</f>
        <v/>
      </c>
      <c r="I43" s="7"/>
      <c r="J43" s="7"/>
      <c r="K43" s="8" t="str">
        <f xml:space="preserve">IF($G43="","",IFERROR(IF(INDEX(EQUIPES!$D$2:$D$300,MATCH($G43,EQUIPES!$C$2:$C$300,0))="","",INDEX(EQUIPES!$D$2:$D$300,MATCH($G43,EQUIPES!$C$2:$C$300,0))),""))</f>
        <v/>
      </c>
      <c r="L43" s="8" t="str">
        <f xml:space="preserve">IF($G43="","",IFERROR(IF(INDEX(EQUIPES!$E$2:$E$300,MATCH($G43,EQUIPES!$C$2:$C$300,0))="","",INDEX(EQUIPES!$E$2:$E$300,MATCH($G43,EQUIPES!$C$2:$C$300,0))),""))</f>
        <v/>
      </c>
      <c r="M43" s="6" t="str">
        <f t="shared" si="0"/>
        <v/>
      </c>
      <c r="N43" s="6" t="str">
        <f xml:space="preserve">IF($G43="","",COUNTIFS(PESSOAS!$J$2:$J$600,$A43,PESSOAS!$C$2:$C$600,$G43,PESSOAS!$D$2:$D$600,"?*"))</f>
        <v/>
      </c>
      <c r="O43" s="4"/>
      <c r="P43" s="7"/>
      <c r="Q43" s="4"/>
    </row>
    <row r="44" ht="24" customHeight="1" spans="1:17">
      <c r="A44" s="4"/>
      <c r="B44" s="4"/>
      <c r="C44" s="4"/>
      <c r="D44" s="4"/>
      <c r="E44" s="4"/>
      <c r="F44" s="5" t="s">
        <v>31</v>
      </c>
      <c r="G44" s="4"/>
      <c r="H44" s="6" t="str">
        <f xml:space="preserve">IF($G44="","",IFERROR(INDEX(EQUIPES!$B$2:$B$300,MATCH($G44,EQUIPES!$C$2:$C$300,0))&amp;"",""))</f>
        <v/>
      </c>
      <c r="I44" s="7"/>
      <c r="J44" s="7"/>
      <c r="K44" s="8" t="str">
        <f xml:space="preserve">IF($G44="","",IFERROR(IF(INDEX(EQUIPES!$D$2:$D$300,MATCH($G44,EQUIPES!$C$2:$C$300,0))="","",INDEX(EQUIPES!$D$2:$D$300,MATCH($G44,EQUIPES!$C$2:$C$300,0))),""))</f>
        <v/>
      </c>
      <c r="L44" s="8" t="str">
        <f xml:space="preserve">IF($G44="","",IFERROR(IF(INDEX(EQUIPES!$E$2:$E$300,MATCH($G44,EQUIPES!$C$2:$C$300,0))="","",INDEX(EQUIPES!$E$2:$E$300,MATCH($G44,EQUIPES!$C$2:$C$300,0))),""))</f>
        <v/>
      </c>
      <c r="M44" s="6" t="str">
        <f t="shared" si="0"/>
        <v/>
      </c>
      <c r="N44" s="6" t="str">
        <f xml:space="preserve">IF($G44="","",COUNTIFS(PESSOAS!$J$2:$J$600,$A44,PESSOAS!$C$2:$C$600,$G44,PESSOAS!$D$2:$D$600,"?*"))</f>
        <v/>
      </c>
      <c r="O44" s="4"/>
      <c r="P44" s="7"/>
      <c r="Q44" s="4"/>
    </row>
    <row r="45" ht="24" customHeight="1" spans="1:17">
      <c r="A45" s="4"/>
      <c r="B45" s="4"/>
      <c r="C45" s="4"/>
      <c r="D45" s="4"/>
      <c r="E45" s="4"/>
      <c r="F45" s="5" t="s">
        <v>31</v>
      </c>
      <c r="G45" s="4"/>
      <c r="H45" s="6" t="str">
        <f xml:space="preserve">IF($G45="","",IFERROR(INDEX(EQUIPES!$B$2:$B$300,MATCH($G45,EQUIPES!$C$2:$C$300,0))&amp;"",""))</f>
        <v/>
      </c>
      <c r="I45" s="7"/>
      <c r="J45" s="7"/>
      <c r="K45" s="8" t="str">
        <f xml:space="preserve">IF($G45="","",IFERROR(IF(INDEX(EQUIPES!$D$2:$D$300,MATCH($G45,EQUIPES!$C$2:$C$300,0))="","",INDEX(EQUIPES!$D$2:$D$300,MATCH($G45,EQUIPES!$C$2:$C$300,0))),""))</f>
        <v/>
      </c>
      <c r="L45" s="8" t="str">
        <f xml:space="preserve">IF($G45="","",IFERROR(IF(INDEX(EQUIPES!$E$2:$E$300,MATCH($G45,EQUIPES!$C$2:$C$300,0))="","",INDEX(EQUIPES!$E$2:$E$300,MATCH($G45,EQUIPES!$C$2:$C$300,0))),""))</f>
        <v/>
      </c>
      <c r="M45" s="6" t="str">
        <f t="shared" si="0"/>
        <v/>
      </c>
      <c r="N45" s="6" t="str">
        <f xml:space="preserve">IF($G45="","",COUNTIFS(PESSOAS!$J$2:$J$600,$A45,PESSOAS!$C$2:$C$600,$G45,PESSOAS!$D$2:$D$600,"?*"))</f>
        <v/>
      </c>
      <c r="O45" s="4"/>
      <c r="P45" s="7"/>
      <c r="Q45" s="4"/>
    </row>
    <row r="46" ht="24" customHeight="1" spans="1:17">
      <c r="A46" s="4"/>
      <c r="B46" s="4"/>
      <c r="C46" s="4"/>
      <c r="D46" s="4"/>
      <c r="E46" s="4"/>
      <c r="F46" s="5" t="s">
        <v>31</v>
      </c>
      <c r="G46" s="4"/>
      <c r="H46" s="6" t="str">
        <f xml:space="preserve">IF($G46="","",IFERROR(INDEX(EQUIPES!$B$2:$B$300,MATCH($G46,EQUIPES!$C$2:$C$300,0))&amp;"",""))</f>
        <v/>
      </c>
      <c r="I46" s="7"/>
      <c r="J46" s="7"/>
      <c r="K46" s="8" t="str">
        <f xml:space="preserve">IF($G46="","",IFERROR(IF(INDEX(EQUIPES!$D$2:$D$300,MATCH($G46,EQUIPES!$C$2:$C$300,0))="","",INDEX(EQUIPES!$D$2:$D$300,MATCH($G46,EQUIPES!$C$2:$C$300,0))),""))</f>
        <v/>
      </c>
      <c r="L46" s="8" t="str">
        <f xml:space="preserve">IF($G46="","",IFERROR(IF(INDEX(EQUIPES!$E$2:$E$300,MATCH($G46,EQUIPES!$C$2:$C$300,0))="","",INDEX(EQUIPES!$E$2:$E$300,MATCH($G46,EQUIPES!$C$2:$C$300,0))),""))</f>
        <v/>
      </c>
      <c r="M46" s="6" t="str">
        <f t="shared" si="0"/>
        <v/>
      </c>
      <c r="N46" s="6" t="str">
        <f xml:space="preserve">IF($G46="","",COUNTIFS(PESSOAS!$J$2:$J$600,$A46,PESSOAS!$C$2:$C$600,$G46,PESSOAS!$D$2:$D$600,"?*"))</f>
        <v/>
      </c>
      <c r="O46" s="4"/>
      <c r="P46" s="7"/>
      <c r="Q46" s="4"/>
    </row>
    <row r="47" ht="24" customHeight="1" spans="1:17">
      <c r="A47" s="4"/>
      <c r="B47" s="4"/>
      <c r="C47" s="4"/>
      <c r="D47" s="4"/>
      <c r="E47" s="4"/>
      <c r="F47" s="5" t="s">
        <v>31</v>
      </c>
      <c r="G47" s="4"/>
      <c r="H47" s="6" t="str">
        <f xml:space="preserve">IF($G47="","",IFERROR(INDEX(EQUIPES!$B$2:$B$300,MATCH($G47,EQUIPES!$C$2:$C$300,0))&amp;"",""))</f>
        <v/>
      </c>
      <c r="I47" s="7"/>
      <c r="J47" s="7"/>
      <c r="K47" s="8" t="str">
        <f xml:space="preserve">IF($G47="","",IFERROR(IF(INDEX(EQUIPES!$D$2:$D$300,MATCH($G47,EQUIPES!$C$2:$C$300,0))="","",INDEX(EQUIPES!$D$2:$D$300,MATCH($G47,EQUIPES!$C$2:$C$300,0))),""))</f>
        <v/>
      </c>
      <c r="L47" s="8" t="str">
        <f xml:space="preserve">IF($G47="","",IFERROR(IF(INDEX(EQUIPES!$E$2:$E$300,MATCH($G47,EQUIPES!$C$2:$C$300,0))="","",INDEX(EQUIPES!$E$2:$E$300,MATCH($G47,EQUIPES!$C$2:$C$300,0))),""))</f>
        <v/>
      </c>
      <c r="M47" s="6" t="str">
        <f t="shared" si="0"/>
        <v/>
      </c>
      <c r="N47" s="6" t="str">
        <f xml:space="preserve">IF($G47="","",COUNTIFS(PESSOAS!$J$2:$J$600,$A47,PESSOAS!$C$2:$C$600,$G47,PESSOAS!$D$2:$D$600,"?*"))</f>
        <v/>
      </c>
      <c r="O47" s="4"/>
      <c r="P47" s="7"/>
      <c r="Q47" s="4"/>
    </row>
    <row r="48" ht="24" customHeight="1" spans="1:17">
      <c r="A48" s="4"/>
      <c r="B48" s="4"/>
      <c r="C48" s="4"/>
      <c r="D48" s="4"/>
      <c r="E48" s="4"/>
      <c r="F48" s="5" t="s">
        <v>31</v>
      </c>
      <c r="G48" s="4"/>
      <c r="H48" s="6" t="str">
        <f xml:space="preserve">IF($G48="","",IFERROR(INDEX(EQUIPES!$B$2:$B$300,MATCH($G48,EQUIPES!$C$2:$C$300,0))&amp;"",""))</f>
        <v/>
      </c>
      <c r="I48" s="7"/>
      <c r="J48" s="7"/>
      <c r="K48" s="8" t="str">
        <f xml:space="preserve">IF($G48="","",IFERROR(IF(INDEX(EQUIPES!$D$2:$D$300,MATCH($G48,EQUIPES!$C$2:$C$300,0))="","",INDEX(EQUIPES!$D$2:$D$300,MATCH($G48,EQUIPES!$C$2:$C$300,0))),""))</f>
        <v/>
      </c>
      <c r="L48" s="8" t="str">
        <f xml:space="preserve">IF($G48="","",IFERROR(IF(INDEX(EQUIPES!$E$2:$E$300,MATCH($G48,EQUIPES!$C$2:$C$300,0))="","",INDEX(EQUIPES!$E$2:$E$300,MATCH($G48,EQUIPES!$C$2:$C$300,0))),""))</f>
        <v/>
      </c>
      <c r="M48" s="6" t="str">
        <f t="shared" si="0"/>
        <v/>
      </c>
      <c r="N48" s="6" t="str">
        <f xml:space="preserve">IF($G48="","",COUNTIFS(PESSOAS!$J$2:$J$600,$A48,PESSOAS!$C$2:$C$600,$G48,PESSOAS!$D$2:$D$600,"?*"))</f>
        <v/>
      </c>
      <c r="O48" s="4"/>
      <c r="P48" s="7"/>
      <c r="Q48" s="4"/>
    </row>
    <row r="49" ht="24" customHeight="1" spans="1:17">
      <c r="A49" s="4"/>
      <c r="B49" s="4"/>
      <c r="C49" s="4"/>
      <c r="D49" s="4"/>
      <c r="E49" s="4"/>
      <c r="F49" s="5" t="s">
        <v>31</v>
      </c>
      <c r="G49" s="4"/>
      <c r="H49" s="6" t="str">
        <f xml:space="preserve">IF($G49="","",IFERROR(INDEX(EQUIPES!$B$2:$B$300,MATCH($G49,EQUIPES!$C$2:$C$300,0))&amp;"",""))</f>
        <v/>
      </c>
      <c r="I49" s="7"/>
      <c r="J49" s="7"/>
      <c r="K49" s="8" t="str">
        <f xml:space="preserve">IF($G49="","",IFERROR(IF(INDEX(EQUIPES!$D$2:$D$300,MATCH($G49,EQUIPES!$C$2:$C$300,0))="","",INDEX(EQUIPES!$D$2:$D$300,MATCH($G49,EQUIPES!$C$2:$C$300,0))),""))</f>
        <v/>
      </c>
      <c r="L49" s="8" t="str">
        <f xml:space="preserve">IF($G49="","",IFERROR(IF(INDEX(EQUIPES!$E$2:$E$300,MATCH($G49,EQUIPES!$C$2:$C$300,0))="","",INDEX(EQUIPES!$E$2:$E$300,MATCH($G49,EQUIPES!$C$2:$C$300,0))),""))</f>
        <v/>
      </c>
      <c r="M49" s="6" t="str">
        <f t="shared" si="0"/>
        <v/>
      </c>
      <c r="N49" s="6" t="str">
        <f xml:space="preserve">IF($G49="","",COUNTIFS(PESSOAS!$J$2:$J$600,$A49,PESSOAS!$C$2:$C$600,$G49,PESSOAS!$D$2:$D$600,"?*"))</f>
        <v/>
      </c>
      <c r="O49" s="4"/>
      <c r="P49" s="7"/>
      <c r="Q49" s="4"/>
    </row>
    <row r="50" ht="24" customHeight="1" spans="1:17">
      <c r="A50" s="4"/>
      <c r="B50" s="4"/>
      <c r="C50" s="4"/>
      <c r="D50" s="4"/>
      <c r="E50" s="4"/>
      <c r="F50" s="5" t="s">
        <v>31</v>
      </c>
      <c r="G50" s="4"/>
      <c r="H50" s="6" t="str">
        <f xml:space="preserve">IF($G50="","",IFERROR(INDEX(EQUIPES!$B$2:$B$300,MATCH($G50,EQUIPES!$C$2:$C$300,0))&amp;"",""))</f>
        <v/>
      </c>
      <c r="I50" s="7"/>
      <c r="J50" s="7"/>
      <c r="K50" s="8" t="str">
        <f xml:space="preserve">IF($G50="","",IFERROR(IF(INDEX(EQUIPES!$D$2:$D$300,MATCH($G50,EQUIPES!$C$2:$C$300,0))="","",INDEX(EQUIPES!$D$2:$D$300,MATCH($G50,EQUIPES!$C$2:$C$300,0))),""))</f>
        <v/>
      </c>
      <c r="L50" s="8" t="str">
        <f xml:space="preserve">IF($G50="","",IFERROR(IF(INDEX(EQUIPES!$E$2:$E$300,MATCH($G50,EQUIPES!$C$2:$C$300,0))="","",INDEX(EQUIPES!$E$2:$E$300,MATCH($G50,EQUIPES!$C$2:$C$300,0))),""))</f>
        <v/>
      </c>
      <c r="M50" s="6" t="str">
        <f t="shared" si="0"/>
        <v/>
      </c>
      <c r="N50" s="6" t="str">
        <f xml:space="preserve">IF($G50="","",COUNTIFS(PESSOAS!$J$2:$J$600,$A50,PESSOAS!$C$2:$C$600,$G50,PESSOAS!$D$2:$D$600,"?*"))</f>
        <v/>
      </c>
      <c r="O50" s="4"/>
      <c r="P50" s="7"/>
      <c r="Q50" s="4"/>
    </row>
    <row r="51" ht="24" customHeight="1" spans="1:17">
      <c r="A51" s="4"/>
      <c r="B51" s="4"/>
      <c r="C51" s="4"/>
      <c r="D51" s="4"/>
      <c r="E51" s="4"/>
      <c r="F51" s="5" t="s">
        <v>31</v>
      </c>
      <c r="G51" s="4"/>
      <c r="H51" s="6" t="str">
        <f xml:space="preserve">IF($G51="","",IFERROR(INDEX(EQUIPES!$B$2:$B$300,MATCH($G51,EQUIPES!$C$2:$C$300,0))&amp;"",""))</f>
        <v/>
      </c>
      <c r="I51" s="7"/>
      <c r="J51" s="7"/>
      <c r="K51" s="8" t="str">
        <f xml:space="preserve">IF($G51="","",IFERROR(IF(INDEX(EQUIPES!$D$2:$D$300,MATCH($G51,EQUIPES!$C$2:$C$300,0))="","",INDEX(EQUIPES!$D$2:$D$300,MATCH($G51,EQUIPES!$C$2:$C$300,0))),""))</f>
        <v/>
      </c>
      <c r="L51" s="8" t="str">
        <f xml:space="preserve">IF($G51="","",IFERROR(IF(INDEX(EQUIPES!$E$2:$E$300,MATCH($G51,EQUIPES!$C$2:$C$300,0))="","",INDEX(EQUIPES!$E$2:$E$300,MATCH($G51,EQUIPES!$C$2:$C$300,0))),""))</f>
        <v/>
      </c>
      <c r="M51" s="6" t="str">
        <f t="shared" si="0"/>
        <v/>
      </c>
      <c r="N51" s="6" t="str">
        <f xml:space="preserve">IF($G51="","",COUNTIFS(PESSOAS!$J$2:$J$600,$A51,PESSOAS!$C$2:$C$600,$G51,PESSOAS!$D$2:$D$600,"?*"))</f>
        <v/>
      </c>
      <c r="O51" s="4"/>
      <c r="P51" s="7"/>
      <c r="Q51" s="4"/>
    </row>
    <row r="52" ht="24" customHeight="1" spans="1:17">
      <c r="A52" s="4"/>
      <c r="B52" s="4"/>
      <c r="C52" s="4"/>
      <c r="D52" s="4"/>
      <c r="E52" s="4"/>
      <c r="F52" s="5" t="s">
        <v>31</v>
      </c>
      <c r="G52" s="4"/>
      <c r="H52" s="6" t="str">
        <f xml:space="preserve">IF($G52="","",IFERROR(INDEX(EQUIPES!$B$2:$B$300,MATCH($G52,EQUIPES!$C$2:$C$300,0))&amp;"",""))</f>
        <v/>
      </c>
      <c r="I52" s="7"/>
      <c r="J52" s="7"/>
      <c r="K52" s="8" t="str">
        <f xml:space="preserve">IF($G52="","",IFERROR(IF(INDEX(EQUIPES!$D$2:$D$300,MATCH($G52,EQUIPES!$C$2:$C$300,0))="","",INDEX(EQUIPES!$D$2:$D$300,MATCH($G52,EQUIPES!$C$2:$C$300,0))),""))</f>
        <v/>
      </c>
      <c r="L52" s="8" t="str">
        <f xml:space="preserve">IF($G52="","",IFERROR(IF(INDEX(EQUIPES!$E$2:$E$300,MATCH($G52,EQUIPES!$C$2:$C$300,0))="","",INDEX(EQUIPES!$E$2:$E$300,MATCH($G52,EQUIPES!$C$2:$C$300,0))),""))</f>
        <v/>
      </c>
      <c r="M52" s="6" t="str">
        <f t="shared" si="0"/>
        <v/>
      </c>
      <c r="N52" s="6" t="str">
        <f xml:space="preserve">IF($G52="","",COUNTIFS(PESSOAS!$J$2:$J$600,$A52,PESSOAS!$C$2:$C$600,$G52,PESSOAS!$D$2:$D$600,"?*"))</f>
        <v/>
      </c>
      <c r="O52" s="4"/>
      <c r="P52" s="7"/>
      <c r="Q52" s="4"/>
    </row>
    <row r="53" ht="24" customHeight="1" spans="1:17">
      <c r="A53" s="4"/>
      <c r="B53" s="4"/>
      <c r="C53" s="4"/>
      <c r="D53" s="4"/>
      <c r="E53" s="4"/>
      <c r="F53" s="5" t="s">
        <v>31</v>
      </c>
      <c r="G53" s="4"/>
      <c r="H53" s="6" t="str">
        <f xml:space="preserve">IF($G53="","",IFERROR(INDEX(EQUIPES!$B$2:$B$300,MATCH($G53,EQUIPES!$C$2:$C$300,0))&amp;"",""))</f>
        <v/>
      </c>
      <c r="I53" s="7"/>
      <c r="J53" s="7"/>
      <c r="K53" s="8" t="str">
        <f xml:space="preserve">IF($G53="","",IFERROR(IF(INDEX(EQUIPES!$D$2:$D$300,MATCH($G53,EQUIPES!$C$2:$C$300,0))="","",INDEX(EQUIPES!$D$2:$D$300,MATCH($G53,EQUIPES!$C$2:$C$300,0))),""))</f>
        <v/>
      </c>
      <c r="L53" s="8" t="str">
        <f xml:space="preserve">IF($G53="","",IFERROR(IF(INDEX(EQUIPES!$E$2:$E$300,MATCH($G53,EQUIPES!$C$2:$C$300,0))="","",INDEX(EQUIPES!$E$2:$E$300,MATCH($G53,EQUIPES!$C$2:$C$300,0))),""))</f>
        <v/>
      </c>
      <c r="M53" s="6" t="str">
        <f t="shared" si="0"/>
        <v/>
      </c>
      <c r="N53" s="6" t="str">
        <f xml:space="preserve">IF($G53="","",COUNTIFS(PESSOAS!$J$2:$J$600,$A53,PESSOAS!$C$2:$C$600,$G53,PESSOAS!$D$2:$D$600,"?*"))</f>
        <v/>
      </c>
      <c r="O53" s="4"/>
      <c r="P53" s="7"/>
      <c r="Q53" s="4"/>
    </row>
    <row r="54" ht="24" customHeight="1" spans="1:17">
      <c r="A54" s="4"/>
      <c r="B54" s="4"/>
      <c r="C54" s="4"/>
      <c r="D54" s="4"/>
      <c r="E54" s="4"/>
      <c r="F54" s="5" t="s">
        <v>31</v>
      </c>
      <c r="G54" s="4"/>
      <c r="H54" s="6" t="str">
        <f xml:space="preserve">IF($G54="","",IFERROR(INDEX(EQUIPES!$B$2:$B$300,MATCH($G54,EQUIPES!$C$2:$C$300,0))&amp;"",""))</f>
        <v/>
      </c>
      <c r="I54" s="7"/>
      <c r="J54" s="7"/>
      <c r="K54" s="8" t="str">
        <f xml:space="preserve">IF($G54="","",IFERROR(IF(INDEX(EQUIPES!$D$2:$D$300,MATCH($G54,EQUIPES!$C$2:$C$300,0))="","",INDEX(EQUIPES!$D$2:$D$300,MATCH($G54,EQUIPES!$C$2:$C$300,0))),""))</f>
        <v/>
      </c>
      <c r="L54" s="8" t="str">
        <f xml:space="preserve">IF($G54="","",IFERROR(IF(INDEX(EQUIPES!$E$2:$E$300,MATCH($G54,EQUIPES!$C$2:$C$300,0))="","",INDEX(EQUIPES!$E$2:$E$300,MATCH($G54,EQUIPES!$C$2:$C$300,0))),""))</f>
        <v/>
      </c>
      <c r="M54" s="6" t="str">
        <f t="shared" si="0"/>
        <v/>
      </c>
      <c r="N54" s="6" t="str">
        <f xml:space="preserve">IF($G54="","",COUNTIFS(PESSOAS!$J$2:$J$600,$A54,PESSOAS!$C$2:$C$600,$G54,PESSOAS!$D$2:$D$600,"?*"))</f>
        <v/>
      </c>
      <c r="O54" s="4"/>
      <c r="P54" s="7"/>
      <c r="Q54" s="4"/>
    </row>
    <row r="55" ht="24" customHeight="1" spans="1:17">
      <c r="A55" s="4"/>
      <c r="B55" s="4"/>
      <c r="C55" s="4"/>
      <c r="D55" s="4"/>
      <c r="E55" s="4"/>
      <c r="F55" s="5" t="s">
        <v>31</v>
      </c>
      <c r="G55" s="4"/>
      <c r="H55" s="6" t="str">
        <f xml:space="preserve">IF($G55="","",IFERROR(INDEX(EQUIPES!$B$2:$B$300,MATCH($G55,EQUIPES!$C$2:$C$300,0))&amp;"",""))</f>
        <v/>
      </c>
      <c r="I55" s="7"/>
      <c r="J55" s="7"/>
      <c r="K55" s="8" t="str">
        <f xml:space="preserve">IF($G55="","",IFERROR(IF(INDEX(EQUIPES!$D$2:$D$300,MATCH($G55,EQUIPES!$C$2:$C$300,0))="","",INDEX(EQUIPES!$D$2:$D$300,MATCH($G55,EQUIPES!$C$2:$C$300,0))),""))</f>
        <v/>
      </c>
      <c r="L55" s="8" t="str">
        <f xml:space="preserve">IF($G55="","",IFERROR(IF(INDEX(EQUIPES!$E$2:$E$300,MATCH($G55,EQUIPES!$C$2:$C$300,0))="","",INDEX(EQUIPES!$E$2:$E$300,MATCH($G55,EQUIPES!$C$2:$C$300,0))),""))</f>
        <v/>
      </c>
      <c r="M55" s="6" t="str">
        <f t="shared" si="0"/>
        <v/>
      </c>
      <c r="N55" s="6" t="str">
        <f xml:space="preserve">IF($G55="","",COUNTIFS(PESSOAS!$J$2:$J$600,$A55,PESSOAS!$C$2:$C$600,$G55,PESSOAS!$D$2:$D$600,"?*"))</f>
        <v/>
      </c>
      <c r="O55" s="4"/>
      <c r="P55" s="7"/>
      <c r="Q55" s="4"/>
    </row>
    <row r="56" ht="24" customHeight="1" spans="1:17">
      <c r="A56" s="4"/>
      <c r="B56" s="4"/>
      <c r="C56" s="4"/>
      <c r="D56" s="4"/>
      <c r="E56" s="4"/>
      <c r="F56" s="5" t="s">
        <v>31</v>
      </c>
      <c r="G56" s="4"/>
      <c r="H56" s="6" t="str">
        <f xml:space="preserve">IF($G56="","",IFERROR(INDEX(EQUIPES!$B$2:$B$300,MATCH($G56,EQUIPES!$C$2:$C$300,0))&amp;"",""))</f>
        <v/>
      </c>
      <c r="I56" s="7"/>
      <c r="J56" s="7"/>
      <c r="K56" s="8" t="str">
        <f xml:space="preserve">IF($G56="","",IFERROR(IF(INDEX(EQUIPES!$D$2:$D$300,MATCH($G56,EQUIPES!$C$2:$C$300,0))="","",INDEX(EQUIPES!$D$2:$D$300,MATCH($G56,EQUIPES!$C$2:$C$300,0))),""))</f>
        <v/>
      </c>
      <c r="L56" s="8" t="str">
        <f xml:space="preserve">IF($G56="","",IFERROR(IF(INDEX(EQUIPES!$E$2:$E$300,MATCH($G56,EQUIPES!$C$2:$C$300,0))="","",INDEX(EQUIPES!$E$2:$E$300,MATCH($G56,EQUIPES!$C$2:$C$300,0))),""))</f>
        <v/>
      </c>
      <c r="M56" s="6" t="str">
        <f t="shared" si="0"/>
        <v/>
      </c>
      <c r="N56" s="6" t="str">
        <f xml:space="preserve">IF($G56="","",COUNTIFS(PESSOAS!$J$2:$J$600,$A56,PESSOAS!$C$2:$C$600,$G56,PESSOAS!$D$2:$D$600,"?*"))</f>
        <v/>
      </c>
      <c r="O56" s="4"/>
      <c r="P56" s="7"/>
      <c r="Q56" s="4"/>
    </row>
    <row r="57" ht="24" customHeight="1" spans="1:17">
      <c r="A57" s="4"/>
      <c r="B57" s="4"/>
      <c r="C57" s="4"/>
      <c r="D57" s="4"/>
      <c r="E57" s="4"/>
      <c r="F57" s="5" t="s">
        <v>31</v>
      </c>
      <c r="G57" s="4"/>
      <c r="H57" s="6" t="str">
        <f xml:space="preserve">IF($G57="","",IFERROR(INDEX(EQUIPES!$B$2:$B$300,MATCH($G57,EQUIPES!$C$2:$C$300,0))&amp;"",""))</f>
        <v/>
      </c>
      <c r="I57" s="7"/>
      <c r="J57" s="7"/>
      <c r="K57" s="8" t="str">
        <f xml:space="preserve">IF($G57="","",IFERROR(IF(INDEX(EQUIPES!$D$2:$D$300,MATCH($G57,EQUIPES!$C$2:$C$300,0))="","",INDEX(EQUIPES!$D$2:$D$300,MATCH($G57,EQUIPES!$C$2:$C$300,0))),""))</f>
        <v/>
      </c>
      <c r="L57" s="8" t="str">
        <f xml:space="preserve">IF($G57="","",IFERROR(IF(INDEX(EQUIPES!$E$2:$E$300,MATCH($G57,EQUIPES!$C$2:$C$300,0))="","",INDEX(EQUIPES!$E$2:$E$300,MATCH($G57,EQUIPES!$C$2:$C$300,0))),""))</f>
        <v/>
      </c>
      <c r="M57" s="6" t="str">
        <f t="shared" si="0"/>
        <v/>
      </c>
      <c r="N57" s="6" t="str">
        <f xml:space="preserve">IF($G57="","",COUNTIFS(PESSOAS!$J$2:$J$600,$A57,PESSOAS!$C$2:$C$600,$G57,PESSOAS!$D$2:$D$600,"?*"))</f>
        <v/>
      </c>
      <c r="O57" s="4"/>
      <c r="P57" s="7"/>
      <c r="Q57" s="4"/>
    </row>
    <row r="58" ht="24" customHeight="1" spans="1:17">
      <c r="A58" s="4"/>
      <c r="B58" s="4"/>
      <c r="C58" s="4"/>
      <c r="D58" s="4"/>
      <c r="E58" s="4"/>
      <c r="F58" s="5" t="s">
        <v>31</v>
      </c>
      <c r="G58" s="4"/>
      <c r="H58" s="6" t="str">
        <f xml:space="preserve">IF($G58="","",IFERROR(INDEX(EQUIPES!$B$2:$B$300,MATCH($G58,EQUIPES!$C$2:$C$300,0))&amp;"",""))</f>
        <v/>
      </c>
      <c r="I58" s="7"/>
      <c r="J58" s="7"/>
      <c r="K58" s="8" t="str">
        <f xml:space="preserve">IF($G58="","",IFERROR(IF(INDEX(EQUIPES!$D$2:$D$300,MATCH($G58,EQUIPES!$C$2:$C$300,0))="","",INDEX(EQUIPES!$D$2:$D$300,MATCH($G58,EQUIPES!$C$2:$C$300,0))),""))</f>
        <v/>
      </c>
      <c r="L58" s="8" t="str">
        <f xml:space="preserve">IF($G58="","",IFERROR(IF(INDEX(EQUIPES!$E$2:$E$300,MATCH($G58,EQUIPES!$C$2:$C$300,0))="","",INDEX(EQUIPES!$E$2:$E$300,MATCH($G58,EQUIPES!$C$2:$C$300,0))),""))</f>
        <v/>
      </c>
      <c r="M58" s="6" t="str">
        <f t="shared" si="0"/>
        <v/>
      </c>
      <c r="N58" s="6" t="str">
        <f xml:space="preserve">IF($G58="","",COUNTIFS(PESSOAS!$J$2:$J$600,$A58,PESSOAS!$C$2:$C$600,$G58,PESSOAS!$D$2:$D$600,"?*"))</f>
        <v/>
      </c>
      <c r="O58" s="4"/>
      <c r="P58" s="7"/>
      <c r="Q58" s="4"/>
    </row>
    <row r="59" ht="24" customHeight="1" spans="1:17">
      <c r="A59" s="4"/>
      <c r="B59" s="4"/>
      <c r="C59" s="4"/>
      <c r="D59" s="4"/>
      <c r="E59" s="4"/>
      <c r="F59" s="5" t="s">
        <v>31</v>
      </c>
      <c r="G59" s="4"/>
      <c r="H59" s="6" t="str">
        <f xml:space="preserve">IF($G59="","",IFERROR(INDEX(EQUIPES!$B$2:$B$300,MATCH($G59,EQUIPES!$C$2:$C$300,0))&amp;"",""))</f>
        <v/>
      </c>
      <c r="I59" s="7"/>
      <c r="J59" s="7"/>
      <c r="K59" s="8" t="str">
        <f xml:space="preserve">IF($G59="","",IFERROR(IF(INDEX(EQUIPES!$D$2:$D$300,MATCH($G59,EQUIPES!$C$2:$C$300,0))="","",INDEX(EQUIPES!$D$2:$D$300,MATCH($G59,EQUIPES!$C$2:$C$300,0))),""))</f>
        <v/>
      </c>
      <c r="L59" s="8" t="str">
        <f xml:space="preserve">IF($G59="","",IFERROR(IF(INDEX(EQUIPES!$E$2:$E$300,MATCH($G59,EQUIPES!$C$2:$C$300,0))="","",INDEX(EQUIPES!$E$2:$E$300,MATCH($G59,EQUIPES!$C$2:$C$300,0))),""))</f>
        <v/>
      </c>
      <c r="M59" s="6" t="str">
        <f t="shared" si="0"/>
        <v/>
      </c>
      <c r="N59" s="6" t="str">
        <f xml:space="preserve">IF($G59="","",COUNTIFS(PESSOAS!$J$2:$J$600,$A59,PESSOAS!$C$2:$C$600,$G59,PESSOAS!$D$2:$D$600,"?*"))</f>
        <v/>
      </c>
      <c r="O59" s="4"/>
      <c r="P59" s="7"/>
      <c r="Q59" s="4"/>
    </row>
    <row r="60" ht="24" customHeight="1" spans="1:17">
      <c r="A60" s="4"/>
      <c r="B60" s="4"/>
      <c r="C60" s="4"/>
      <c r="D60" s="4"/>
      <c r="E60" s="4"/>
      <c r="F60" s="5" t="s">
        <v>31</v>
      </c>
      <c r="G60" s="4"/>
      <c r="H60" s="6" t="str">
        <f xml:space="preserve">IF($G60="","",IFERROR(INDEX(EQUIPES!$B$2:$B$300,MATCH($G60,EQUIPES!$C$2:$C$300,0))&amp;"",""))</f>
        <v/>
      </c>
      <c r="I60" s="7"/>
      <c r="J60" s="7"/>
      <c r="K60" s="8" t="str">
        <f xml:space="preserve">IF($G60="","",IFERROR(IF(INDEX(EQUIPES!$D$2:$D$300,MATCH($G60,EQUIPES!$C$2:$C$300,0))="","",INDEX(EQUIPES!$D$2:$D$300,MATCH($G60,EQUIPES!$C$2:$C$300,0))),""))</f>
        <v/>
      </c>
      <c r="L60" s="8" t="str">
        <f xml:space="preserve">IF($G60="","",IFERROR(IF(INDEX(EQUIPES!$E$2:$E$300,MATCH($G60,EQUIPES!$C$2:$C$300,0))="","",INDEX(EQUIPES!$E$2:$E$300,MATCH($G60,EQUIPES!$C$2:$C$300,0))),""))</f>
        <v/>
      </c>
      <c r="M60" s="6" t="str">
        <f t="shared" si="0"/>
        <v/>
      </c>
      <c r="N60" s="6" t="str">
        <f xml:space="preserve">IF($G60="","",COUNTIFS(PESSOAS!$J$2:$J$600,$A60,PESSOAS!$C$2:$C$600,$G60,PESSOAS!$D$2:$D$600,"?*"))</f>
        <v/>
      </c>
      <c r="O60" s="4"/>
      <c r="P60" s="7"/>
      <c r="Q60" s="4"/>
    </row>
    <row r="61" ht="24" customHeight="1" spans="1:17">
      <c r="A61" s="4"/>
      <c r="B61" s="4"/>
      <c r="C61" s="4"/>
      <c r="D61" s="4"/>
      <c r="E61" s="4"/>
      <c r="F61" s="5" t="s">
        <v>31</v>
      </c>
      <c r="G61" s="4"/>
      <c r="H61" s="6" t="str">
        <f xml:space="preserve">IF($G61="","",IFERROR(INDEX(EQUIPES!$B$2:$B$300,MATCH($G61,EQUIPES!$C$2:$C$300,0))&amp;"",""))</f>
        <v/>
      </c>
      <c r="I61" s="7"/>
      <c r="J61" s="7"/>
      <c r="K61" s="8" t="str">
        <f xml:space="preserve">IF($G61="","",IFERROR(IF(INDEX(EQUIPES!$D$2:$D$300,MATCH($G61,EQUIPES!$C$2:$C$300,0))="","",INDEX(EQUIPES!$D$2:$D$300,MATCH($G61,EQUIPES!$C$2:$C$300,0))),""))</f>
        <v/>
      </c>
      <c r="L61" s="8" t="str">
        <f xml:space="preserve">IF($G61="","",IFERROR(IF(INDEX(EQUIPES!$E$2:$E$300,MATCH($G61,EQUIPES!$C$2:$C$300,0))="","",INDEX(EQUIPES!$E$2:$E$300,MATCH($G61,EQUIPES!$C$2:$C$300,0))),""))</f>
        <v/>
      </c>
      <c r="M61" s="6" t="str">
        <f t="shared" si="0"/>
        <v/>
      </c>
      <c r="N61" s="6" t="str">
        <f xml:space="preserve">IF($G61="","",COUNTIFS(PESSOAS!$J$2:$J$600,$A61,PESSOAS!$C$2:$C$600,$G61,PESSOAS!$D$2:$D$600,"?*"))</f>
        <v/>
      </c>
      <c r="O61" s="4"/>
      <c r="P61" s="7"/>
      <c r="Q61" s="4"/>
    </row>
    <row r="62" ht="24" customHeight="1" spans="1:17">
      <c r="A62" s="4"/>
      <c r="B62" s="4"/>
      <c r="C62" s="4"/>
      <c r="D62" s="4"/>
      <c r="E62" s="4"/>
      <c r="F62" s="5" t="s">
        <v>31</v>
      </c>
      <c r="G62" s="4"/>
      <c r="H62" s="6" t="str">
        <f xml:space="preserve">IF($G62="","",IFERROR(INDEX(EQUIPES!$B$2:$B$300,MATCH($G62,EQUIPES!$C$2:$C$300,0))&amp;"",""))</f>
        <v/>
      </c>
      <c r="I62" s="7"/>
      <c r="J62" s="7"/>
      <c r="K62" s="8" t="str">
        <f xml:space="preserve">IF($G62="","",IFERROR(IF(INDEX(EQUIPES!$D$2:$D$300,MATCH($G62,EQUIPES!$C$2:$C$300,0))="","",INDEX(EQUIPES!$D$2:$D$300,MATCH($G62,EQUIPES!$C$2:$C$300,0))),""))</f>
        <v/>
      </c>
      <c r="L62" s="8" t="str">
        <f xml:space="preserve">IF($G62="","",IFERROR(IF(INDEX(EQUIPES!$E$2:$E$300,MATCH($G62,EQUIPES!$C$2:$C$300,0))="","",INDEX(EQUIPES!$E$2:$E$300,MATCH($G62,EQUIPES!$C$2:$C$300,0))),""))</f>
        <v/>
      </c>
      <c r="M62" s="6" t="str">
        <f t="shared" si="0"/>
        <v/>
      </c>
      <c r="N62" s="6" t="str">
        <f xml:space="preserve">IF($G62="","",COUNTIFS(PESSOAS!$J$2:$J$600,$A62,PESSOAS!$C$2:$C$600,$G62,PESSOAS!$D$2:$D$600,"?*"))</f>
        <v/>
      </c>
      <c r="O62" s="4"/>
      <c r="P62" s="7"/>
      <c r="Q62" s="4"/>
    </row>
    <row r="63" ht="24" customHeight="1" spans="1:17">
      <c r="A63" s="4"/>
      <c r="B63" s="4"/>
      <c r="C63" s="4"/>
      <c r="D63" s="4"/>
      <c r="E63" s="4"/>
      <c r="F63" s="5" t="s">
        <v>31</v>
      </c>
      <c r="G63" s="4"/>
      <c r="H63" s="6" t="str">
        <f xml:space="preserve">IF($G63="","",IFERROR(INDEX(EQUIPES!$B$2:$B$300,MATCH($G63,EQUIPES!$C$2:$C$300,0))&amp;"",""))</f>
        <v/>
      </c>
      <c r="I63" s="7"/>
      <c r="J63" s="7"/>
      <c r="K63" s="8" t="str">
        <f xml:space="preserve">IF($G63="","",IFERROR(IF(INDEX(EQUIPES!$D$2:$D$300,MATCH($G63,EQUIPES!$C$2:$C$300,0))="","",INDEX(EQUIPES!$D$2:$D$300,MATCH($G63,EQUIPES!$C$2:$C$300,0))),""))</f>
        <v/>
      </c>
      <c r="L63" s="8" t="str">
        <f xml:space="preserve">IF($G63="","",IFERROR(IF(INDEX(EQUIPES!$E$2:$E$300,MATCH($G63,EQUIPES!$C$2:$C$300,0))="","",INDEX(EQUIPES!$E$2:$E$300,MATCH($G63,EQUIPES!$C$2:$C$300,0))),""))</f>
        <v/>
      </c>
      <c r="M63" s="6" t="str">
        <f t="shared" si="0"/>
        <v/>
      </c>
      <c r="N63" s="6" t="str">
        <f xml:space="preserve">IF($G63="","",COUNTIFS(PESSOAS!$J$2:$J$600,$A63,PESSOAS!$C$2:$C$600,$G63,PESSOAS!$D$2:$D$600,"?*"))</f>
        <v/>
      </c>
      <c r="O63" s="4"/>
      <c r="P63" s="7"/>
      <c r="Q63" s="4"/>
    </row>
    <row r="64" ht="24" customHeight="1" spans="1:17">
      <c r="A64" s="4"/>
      <c r="B64" s="4"/>
      <c r="C64" s="4"/>
      <c r="D64" s="4"/>
      <c r="E64" s="4"/>
      <c r="F64" s="5" t="s">
        <v>31</v>
      </c>
      <c r="G64" s="4"/>
      <c r="H64" s="6" t="str">
        <f xml:space="preserve">IF($G64="","",IFERROR(INDEX(EQUIPES!$B$2:$B$300,MATCH($G64,EQUIPES!$C$2:$C$300,0))&amp;"",""))</f>
        <v/>
      </c>
      <c r="I64" s="7"/>
      <c r="J64" s="7"/>
      <c r="K64" s="8" t="str">
        <f xml:space="preserve">IF($G64="","",IFERROR(IF(INDEX(EQUIPES!$D$2:$D$300,MATCH($G64,EQUIPES!$C$2:$C$300,0))="","",INDEX(EQUIPES!$D$2:$D$300,MATCH($G64,EQUIPES!$C$2:$C$300,0))),""))</f>
        <v/>
      </c>
      <c r="L64" s="8" t="str">
        <f xml:space="preserve">IF($G64="","",IFERROR(IF(INDEX(EQUIPES!$E$2:$E$300,MATCH($G64,EQUIPES!$C$2:$C$300,0))="","",INDEX(EQUIPES!$E$2:$E$300,MATCH($G64,EQUIPES!$C$2:$C$300,0))),""))</f>
        <v/>
      </c>
      <c r="M64" s="6" t="str">
        <f t="shared" si="0"/>
        <v/>
      </c>
      <c r="N64" s="6" t="str">
        <f xml:space="preserve">IF($G64="","",COUNTIFS(PESSOAS!$J$2:$J$600,$A64,PESSOAS!$C$2:$C$600,$G64,PESSOAS!$D$2:$D$600,"?*"))</f>
        <v/>
      </c>
      <c r="O64" s="4"/>
      <c r="P64" s="7"/>
      <c r="Q64" s="4"/>
    </row>
    <row r="65" ht="24" customHeight="1" spans="1:17">
      <c r="A65" s="4"/>
      <c r="B65" s="4"/>
      <c r="C65" s="4"/>
      <c r="D65" s="4"/>
      <c r="E65" s="4"/>
      <c r="F65" s="5" t="s">
        <v>31</v>
      </c>
      <c r="G65" s="4"/>
      <c r="H65" s="6" t="str">
        <f xml:space="preserve">IF($G65="","",IFERROR(INDEX(EQUIPES!$B$2:$B$300,MATCH($G65,EQUIPES!$C$2:$C$300,0))&amp;"",""))</f>
        <v/>
      </c>
      <c r="I65" s="7"/>
      <c r="J65" s="7"/>
      <c r="K65" s="8" t="str">
        <f xml:space="preserve">IF($G65="","",IFERROR(IF(INDEX(EQUIPES!$D$2:$D$300,MATCH($G65,EQUIPES!$C$2:$C$300,0))="","",INDEX(EQUIPES!$D$2:$D$300,MATCH($G65,EQUIPES!$C$2:$C$300,0))),""))</f>
        <v/>
      </c>
      <c r="L65" s="8" t="str">
        <f xml:space="preserve">IF($G65="","",IFERROR(IF(INDEX(EQUIPES!$E$2:$E$300,MATCH($G65,EQUIPES!$C$2:$C$300,0))="","",INDEX(EQUIPES!$E$2:$E$300,MATCH($G65,EQUIPES!$C$2:$C$300,0))),""))</f>
        <v/>
      </c>
      <c r="M65" s="6" t="str">
        <f t="shared" si="0"/>
        <v/>
      </c>
      <c r="N65" s="6" t="str">
        <f xml:space="preserve">IF($G65="","",COUNTIFS(PESSOAS!$J$2:$J$600,$A65,PESSOAS!$C$2:$C$600,$G65,PESSOAS!$D$2:$D$600,"?*"))</f>
        <v/>
      </c>
      <c r="O65" s="4"/>
      <c r="P65" s="7"/>
      <c r="Q65" s="4"/>
    </row>
    <row r="66" ht="24" customHeight="1" spans="1:17">
      <c r="A66" s="4"/>
      <c r="B66" s="4"/>
      <c r="C66" s="4"/>
      <c r="D66" s="4"/>
      <c r="E66" s="4"/>
      <c r="F66" s="5" t="s">
        <v>31</v>
      </c>
      <c r="G66" s="4"/>
      <c r="H66" s="6" t="str">
        <f xml:space="preserve">IF($G66="","",IFERROR(INDEX(EQUIPES!$B$2:$B$300,MATCH($G66,EQUIPES!$C$2:$C$300,0))&amp;"",""))</f>
        <v/>
      </c>
      <c r="I66" s="7"/>
      <c r="J66" s="7"/>
      <c r="K66" s="8" t="str">
        <f xml:space="preserve">IF($G66="","",IFERROR(IF(INDEX(EQUIPES!$D$2:$D$300,MATCH($G66,EQUIPES!$C$2:$C$300,0))="","",INDEX(EQUIPES!$D$2:$D$300,MATCH($G66,EQUIPES!$C$2:$C$300,0))),""))</f>
        <v/>
      </c>
      <c r="L66" s="8" t="str">
        <f xml:space="preserve">IF($G66="","",IFERROR(IF(INDEX(EQUIPES!$E$2:$E$300,MATCH($G66,EQUIPES!$C$2:$C$300,0))="","",INDEX(EQUIPES!$E$2:$E$300,MATCH($G66,EQUIPES!$C$2:$C$300,0))),""))</f>
        <v/>
      </c>
      <c r="M66" s="6" t="str">
        <f t="shared" ref="M66:M101" si="1" xml:space="preserve">IF($G66="","",IF(AND($K66="",$L66=""),"Equipe sem datas",IF(AND($I66="",$J66=""),"Preencher as datas da viatura",IF(AND($I66&lt;&gt;"",$K66&lt;&gt;"",$I66&lt;$K66),"Começa antes do início da equipe",IF(AND($J66&lt;&gt;"",$L66&lt;&gt;"",$J66&gt;$L66),"Termina depois do fim da equipe",IF(AND($I66&lt;&gt;"",$L66&lt;&gt;"",$I66&gt;$L66),"Começa depois que a equipe termina",IF(AND($J66&lt;&gt;"",$K66&lt;&gt;"",$J66&lt;$K66),"Termina antes de a equipe começar",IF(AND($J66="",$L66&lt;&gt;""),"Sem fim na viatura; a equipe tem fim",IF(AND($I66="",$K66&lt;&gt;""),"Sem início na viatura; a equipe tem início","Confere com a equipe")))))))))</f>
        <v/>
      </c>
      <c r="N66" s="6" t="str">
        <f xml:space="preserve">IF($G66="","",COUNTIFS(PESSOAS!$J$2:$J$600,$A66,PESSOAS!$C$2:$C$600,$G66,PESSOAS!$D$2:$D$600,"?*"))</f>
        <v/>
      </c>
      <c r="O66" s="4"/>
      <c r="P66" s="7"/>
      <c r="Q66" s="4"/>
    </row>
    <row r="67" ht="24" customHeight="1" spans="1:17">
      <c r="A67" s="4"/>
      <c r="B67" s="4"/>
      <c r="C67" s="4"/>
      <c r="D67" s="4"/>
      <c r="E67" s="4"/>
      <c r="F67" s="5" t="s">
        <v>31</v>
      </c>
      <c r="G67" s="4"/>
      <c r="H67" s="6" t="str">
        <f xml:space="preserve">IF($G67="","",IFERROR(INDEX(EQUIPES!$B$2:$B$300,MATCH($G67,EQUIPES!$C$2:$C$300,0))&amp;"",""))</f>
        <v/>
      </c>
      <c r="I67" s="7"/>
      <c r="J67" s="7"/>
      <c r="K67" s="8" t="str">
        <f xml:space="preserve">IF($G67="","",IFERROR(IF(INDEX(EQUIPES!$D$2:$D$300,MATCH($G67,EQUIPES!$C$2:$C$300,0))="","",INDEX(EQUIPES!$D$2:$D$300,MATCH($G67,EQUIPES!$C$2:$C$300,0))),""))</f>
        <v/>
      </c>
      <c r="L67" s="8" t="str">
        <f xml:space="preserve">IF($G67="","",IFERROR(IF(INDEX(EQUIPES!$E$2:$E$300,MATCH($G67,EQUIPES!$C$2:$C$300,0))="","",INDEX(EQUIPES!$E$2:$E$300,MATCH($G67,EQUIPES!$C$2:$C$300,0))),""))</f>
        <v/>
      </c>
      <c r="M67" s="6" t="str">
        <f t="shared" si="1"/>
        <v/>
      </c>
      <c r="N67" s="6" t="str">
        <f xml:space="preserve">IF($G67="","",COUNTIFS(PESSOAS!$J$2:$J$600,$A67,PESSOAS!$C$2:$C$600,$G67,PESSOAS!$D$2:$D$600,"?*"))</f>
        <v/>
      </c>
      <c r="O67" s="4"/>
      <c r="P67" s="7"/>
      <c r="Q67" s="4"/>
    </row>
    <row r="68" ht="24" customHeight="1" spans="1:17">
      <c r="A68" s="4"/>
      <c r="B68" s="4"/>
      <c r="C68" s="4"/>
      <c r="D68" s="4"/>
      <c r="E68" s="4"/>
      <c r="F68" s="5" t="s">
        <v>31</v>
      </c>
      <c r="G68" s="4"/>
      <c r="H68" s="6" t="str">
        <f xml:space="preserve">IF($G68="","",IFERROR(INDEX(EQUIPES!$B$2:$B$300,MATCH($G68,EQUIPES!$C$2:$C$300,0))&amp;"",""))</f>
        <v/>
      </c>
      <c r="I68" s="7"/>
      <c r="J68" s="7"/>
      <c r="K68" s="8" t="str">
        <f xml:space="preserve">IF($G68="","",IFERROR(IF(INDEX(EQUIPES!$D$2:$D$300,MATCH($G68,EQUIPES!$C$2:$C$300,0))="","",INDEX(EQUIPES!$D$2:$D$300,MATCH($G68,EQUIPES!$C$2:$C$300,0))),""))</f>
        <v/>
      </c>
      <c r="L68" s="8" t="str">
        <f xml:space="preserve">IF($G68="","",IFERROR(IF(INDEX(EQUIPES!$E$2:$E$300,MATCH($G68,EQUIPES!$C$2:$C$300,0))="","",INDEX(EQUIPES!$E$2:$E$300,MATCH($G68,EQUIPES!$C$2:$C$300,0))),""))</f>
        <v/>
      </c>
      <c r="M68" s="6" t="str">
        <f t="shared" si="1"/>
        <v/>
      </c>
      <c r="N68" s="6" t="str">
        <f xml:space="preserve">IF($G68="","",COUNTIFS(PESSOAS!$J$2:$J$600,$A68,PESSOAS!$C$2:$C$600,$G68,PESSOAS!$D$2:$D$600,"?*"))</f>
        <v/>
      </c>
      <c r="O68" s="4"/>
      <c r="P68" s="7"/>
      <c r="Q68" s="4"/>
    </row>
    <row r="69" ht="24" customHeight="1" spans="1:17">
      <c r="A69" s="4"/>
      <c r="B69" s="4"/>
      <c r="C69" s="4"/>
      <c r="D69" s="4"/>
      <c r="E69" s="4"/>
      <c r="F69" s="5" t="s">
        <v>31</v>
      </c>
      <c r="G69" s="4"/>
      <c r="H69" s="6" t="str">
        <f xml:space="preserve">IF($G69="","",IFERROR(INDEX(EQUIPES!$B$2:$B$300,MATCH($G69,EQUIPES!$C$2:$C$300,0))&amp;"",""))</f>
        <v/>
      </c>
      <c r="I69" s="7"/>
      <c r="J69" s="7"/>
      <c r="K69" s="8" t="str">
        <f xml:space="preserve">IF($G69="","",IFERROR(IF(INDEX(EQUIPES!$D$2:$D$300,MATCH($G69,EQUIPES!$C$2:$C$300,0))="","",INDEX(EQUIPES!$D$2:$D$300,MATCH($G69,EQUIPES!$C$2:$C$300,0))),""))</f>
        <v/>
      </c>
      <c r="L69" s="8" t="str">
        <f xml:space="preserve">IF($G69="","",IFERROR(IF(INDEX(EQUIPES!$E$2:$E$300,MATCH($G69,EQUIPES!$C$2:$C$300,0))="","",INDEX(EQUIPES!$E$2:$E$300,MATCH($G69,EQUIPES!$C$2:$C$300,0))),""))</f>
        <v/>
      </c>
      <c r="M69" s="6" t="str">
        <f t="shared" si="1"/>
        <v/>
      </c>
      <c r="N69" s="6" t="str">
        <f xml:space="preserve">IF($G69="","",COUNTIFS(PESSOAS!$J$2:$J$600,$A69,PESSOAS!$C$2:$C$600,$G69,PESSOAS!$D$2:$D$600,"?*"))</f>
        <v/>
      </c>
      <c r="O69" s="4"/>
      <c r="P69" s="7"/>
      <c r="Q69" s="4"/>
    </row>
    <row r="70" ht="24" customHeight="1" spans="1:17">
      <c r="A70" s="4"/>
      <c r="B70" s="4"/>
      <c r="C70" s="4"/>
      <c r="D70" s="4"/>
      <c r="E70" s="4"/>
      <c r="F70" s="5" t="s">
        <v>31</v>
      </c>
      <c r="G70" s="4"/>
      <c r="H70" s="6" t="str">
        <f xml:space="preserve">IF($G70="","",IFERROR(INDEX(EQUIPES!$B$2:$B$300,MATCH($G70,EQUIPES!$C$2:$C$300,0))&amp;"",""))</f>
        <v/>
      </c>
      <c r="I70" s="7"/>
      <c r="J70" s="7"/>
      <c r="K70" s="8" t="str">
        <f xml:space="preserve">IF($G70="","",IFERROR(IF(INDEX(EQUIPES!$D$2:$D$300,MATCH($G70,EQUIPES!$C$2:$C$300,0))="","",INDEX(EQUIPES!$D$2:$D$300,MATCH($G70,EQUIPES!$C$2:$C$300,0))),""))</f>
        <v/>
      </c>
      <c r="L70" s="8" t="str">
        <f xml:space="preserve">IF($G70="","",IFERROR(IF(INDEX(EQUIPES!$E$2:$E$300,MATCH($G70,EQUIPES!$C$2:$C$300,0))="","",INDEX(EQUIPES!$E$2:$E$300,MATCH($G70,EQUIPES!$C$2:$C$300,0))),""))</f>
        <v/>
      </c>
      <c r="M70" s="6" t="str">
        <f t="shared" si="1"/>
        <v/>
      </c>
      <c r="N70" s="6" t="str">
        <f xml:space="preserve">IF($G70="","",COUNTIFS(PESSOAS!$J$2:$J$600,$A70,PESSOAS!$C$2:$C$600,$G70,PESSOAS!$D$2:$D$600,"?*"))</f>
        <v/>
      </c>
      <c r="O70" s="4"/>
      <c r="P70" s="7"/>
      <c r="Q70" s="4"/>
    </row>
    <row r="71" ht="24" customHeight="1" spans="1:17">
      <c r="A71" s="4"/>
      <c r="B71" s="4"/>
      <c r="C71" s="4"/>
      <c r="D71" s="4"/>
      <c r="E71" s="4"/>
      <c r="F71" s="5" t="s">
        <v>31</v>
      </c>
      <c r="G71" s="4"/>
      <c r="H71" s="6" t="str">
        <f xml:space="preserve">IF($G71="","",IFERROR(INDEX(EQUIPES!$B$2:$B$300,MATCH($G71,EQUIPES!$C$2:$C$300,0))&amp;"",""))</f>
        <v/>
      </c>
      <c r="I71" s="7"/>
      <c r="J71" s="7"/>
      <c r="K71" s="8" t="str">
        <f xml:space="preserve">IF($G71="","",IFERROR(IF(INDEX(EQUIPES!$D$2:$D$300,MATCH($G71,EQUIPES!$C$2:$C$300,0))="","",INDEX(EQUIPES!$D$2:$D$300,MATCH($G71,EQUIPES!$C$2:$C$300,0))),""))</f>
        <v/>
      </c>
      <c r="L71" s="8" t="str">
        <f xml:space="preserve">IF($G71="","",IFERROR(IF(INDEX(EQUIPES!$E$2:$E$300,MATCH($G71,EQUIPES!$C$2:$C$300,0))="","",INDEX(EQUIPES!$E$2:$E$300,MATCH($G71,EQUIPES!$C$2:$C$300,0))),""))</f>
        <v/>
      </c>
      <c r="M71" s="6" t="str">
        <f t="shared" si="1"/>
        <v/>
      </c>
      <c r="N71" s="6" t="str">
        <f xml:space="preserve">IF($G71="","",COUNTIFS(PESSOAS!$J$2:$J$600,$A71,PESSOAS!$C$2:$C$600,$G71,PESSOAS!$D$2:$D$600,"?*"))</f>
        <v/>
      </c>
      <c r="O71" s="4"/>
      <c r="P71" s="7"/>
      <c r="Q71" s="4"/>
    </row>
    <row r="72" ht="24" customHeight="1" spans="1:17">
      <c r="A72" s="4"/>
      <c r="B72" s="4"/>
      <c r="C72" s="4"/>
      <c r="D72" s="4"/>
      <c r="E72" s="4"/>
      <c r="F72" s="5" t="s">
        <v>31</v>
      </c>
      <c r="G72" s="4"/>
      <c r="H72" s="6" t="str">
        <f xml:space="preserve">IF($G72="","",IFERROR(INDEX(EQUIPES!$B$2:$B$300,MATCH($G72,EQUIPES!$C$2:$C$300,0))&amp;"",""))</f>
        <v/>
      </c>
      <c r="I72" s="7"/>
      <c r="J72" s="7"/>
      <c r="K72" s="8" t="str">
        <f xml:space="preserve">IF($G72="","",IFERROR(IF(INDEX(EQUIPES!$D$2:$D$300,MATCH($G72,EQUIPES!$C$2:$C$300,0))="","",INDEX(EQUIPES!$D$2:$D$300,MATCH($G72,EQUIPES!$C$2:$C$300,0))),""))</f>
        <v/>
      </c>
      <c r="L72" s="8" t="str">
        <f xml:space="preserve">IF($G72="","",IFERROR(IF(INDEX(EQUIPES!$E$2:$E$300,MATCH($G72,EQUIPES!$C$2:$C$300,0))="","",INDEX(EQUIPES!$E$2:$E$300,MATCH($G72,EQUIPES!$C$2:$C$300,0))),""))</f>
        <v/>
      </c>
      <c r="M72" s="6" t="str">
        <f t="shared" si="1"/>
        <v/>
      </c>
      <c r="N72" s="6" t="str">
        <f xml:space="preserve">IF($G72="","",COUNTIFS(PESSOAS!$J$2:$J$600,$A72,PESSOAS!$C$2:$C$600,$G72,PESSOAS!$D$2:$D$600,"?*"))</f>
        <v/>
      </c>
      <c r="O72" s="4"/>
      <c r="P72" s="7"/>
      <c r="Q72" s="4"/>
    </row>
    <row r="73" ht="24" customHeight="1" spans="1:17">
      <c r="A73" s="4"/>
      <c r="B73" s="4"/>
      <c r="C73" s="4"/>
      <c r="D73" s="4"/>
      <c r="E73" s="4"/>
      <c r="F73" s="5" t="s">
        <v>31</v>
      </c>
      <c r="G73" s="4"/>
      <c r="H73" s="6" t="str">
        <f xml:space="preserve">IF($G73="","",IFERROR(INDEX(EQUIPES!$B$2:$B$300,MATCH($G73,EQUIPES!$C$2:$C$300,0))&amp;"",""))</f>
        <v/>
      </c>
      <c r="I73" s="7"/>
      <c r="J73" s="7"/>
      <c r="K73" s="8" t="str">
        <f xml:space="preserve">IF($G73="","",IFERROR(IF(INDEX(EQUIPES!$D$2:$D$300,MATCH($G73,EQUIPES!$C$2:$C$300,0))="","",INDEX(EQUIPES!$D$2:$D$300,MATCH($G73,EQUIPES!$C$2:$C$300,0))),""))</f>
        <v/>
      </c>
      <c r="L73" s="8" t="str">
        <f xml:space="preserve">IF($G73="","",IFERROR(IF(INDEX(EQUIPES!$E$2:$E$300,MATCH($G73,EQUIPES!$C$2:$C$300,0))="","",INDEX(EQUIPES!$E$2:$E$300,MATCH($G73,EQUIPES!$C$2:$C$300,0))),""))</f>
        <v/>
      </c>
      <c r="M73" s="6" t="str">
        <f t="shared" si="1"/>
        <v/>
      </c>
      <c r="N73" s="6" t="str">
        <f xml:space="preserve">IF($G73="","",COUNTIFS(PESSOAS!$J$2:$J$600,$A73,PESSOAS!$C$2:$C$600,$G73,PESSOAS!$D$2:$D$600,"?*"))</f>
        <v/>
      </c>
      <c r="O73" s="4"/>
      <c r="P73" s="7"/>
      <c r="Q73" s="4"/>
    </row>
    <row r="74" ht="24" customHeight="1" spans="1:17">
      <c r="A74" s="4"/>
      <c r="B74" s="4"/>
      <c r="C74" s="4"/>
      <c r="D74" s="4"/>
      <c r="E74" s="4"/>
      <c r="F74" s="5" t="s">
        <v>31</v>
      </c>
      <c r="G74" s="4"/>
      <c r="H74" s="6" t="str">
        <f xml:space="preserve">IF($G74="","",IFERROR(INDEX(EQUIPES!$B$2:$B$300,MATCH($G74,EQUIPES!$C$2:$C$300,0))&amp;"",""))</f>
        <v/>
      </c>
      <c r="I74" s="7"/>
      <c r="J74" s="7"/>
      <c r="K74" s="8" t="str">
        <f xml:space="preserve">IF($G74="","",IFERROR(IF(INDEX(EQUIPES!$D$2:$D$300,MATCH($G74,EQUIPES!$C$2:$C$300,0))="","",INDEX(EQUIPES!$D$2:$D$300,MATCH($G74,EQUIPES!$C$2:$C$300,0))),""))</f>
        <v/>
      </c>
      <c r="L74" s="8" t="str">
        <f xml:space="preserve">IF($G74="","",IFERROR(IF(INDEX(EQUIPES!$E$2:$E$300,MATCH($G74,EQUIPES!$C$2:$C$300,0))="","",INDEX(EQUIPES!$E$2:$E$300,MATCH($G74,EQUIPES!$C$2:$C$300,0))),""))</f>
        <v/>
      </c>
      <c r="M74" s="6" t="str">
        <f t="shared" si="1"/>
        <v/>
      </c>
      <c r="N74" s="6" t="str">
        <f xml:space="preserve">IF($G74="","",COUNTIFS(PESSOAS!$J$2:$J$600,$A74,PESSOAS!$C$2:$C$600,$G74,PESSOAS!$D$2:$D$600,"?*"))</f>
        <v/>
      </c>
      <c r="O74" s="4"/>
      <c r="P74" s="7"/>
      <c r="Q74" s="4"/>
    </row>
    <row r="75" ht="24" customHeight="1" spans="1:17">
      <c r="A75" s="4"/>
      <c r="B75" s="4"/>
      <c r="C75" s="4"/>
      <c r="D75" s="4"/>
      <c r="E75" s="4"/>
      <c r="F75" s="5" t="s">
        <v>31</v>
      </c>
      <c r="G75" s="4"/>
      <c r="H75" s="6" t="str">
        <f xml:space="preserve">IF($G75="","",IFERROR(INDEX(EQUIPES!$B$2:$B$300,MATCH($G75,EQUIPES!$C$2:$C$300,0))&amp;"",""))</f>
        <v/>
      </c>
      <c r="I75" s="7"/>
      <c r="J75" s="7"/>
      <c r="K75" s="8" t="str">
        <f xml:space="preserve">IF($G75="","",IFERROR(IF(INDEX(EQUIPES!$D$2:$D$300,MATCH($G75,EQUIPES!$C$2:$C$300,0))="","",INDEX(EQUIPES!$D$2:$D$300,MATCH($G75,EQUIPES!$C$2:$C$300,0))),""))</f>
        <v/>
      </c>
      <c r="L75" s="8" t="str">
        <f xml:space="preserve">IF($G75="","",IFERROR(IF(INDEX(EQUIPES!$E$2:$E$300,MATCH($G75,EQUIPES!$C$2:$C$300,0))="","",INDEX(EQUIPES!$E$2:$E$300,MATCH($G75,EQUIPES!$C$2:$C$300,0))),""))</f>
        <v/>
      </c>
      <c r="M75" s="6" t="str">
        <f t="shared" si="1"/>
        <v/>
      </c>
      <c r="N75" s="6" t="str">
        <f xml:space="preserve">IF($G75="","",COUNTIFS(PESSOAS!$J$2:$J$600,$A75,PESSOAS!$C$2:$C$600,$G75,PESSOAS!$D$2:$D$600,"?*"))</f>
        <v/>
      </c>
      <c r="O75" s="4"/>
      <c r="P75" s="7"/>
      <c r="Q75" s="4"/>
    </row>
    <row r="76" ht="24" customHeight="1" spans="1:17">
      <c r="A76" s="4"/>
      <c r="B76" s="4"/>
      <c r="C76" s="4"/>
      <c r="D76" s="4"/>
      <c r="E76" s="4"/>
      <c r="F76" s="5" t="s">
        <v>31</v>
      </c>
      <c r="G76" s="4"/>
      <c r="H76" s="6" t="str">
        <f xml:space="preserve">IF($G76="","",IFERROR(INDEX(EQUIPES!$B$2:$B$300,MATCH($G76,EQUIPES!$C$2:$C$300,0))&amp;"",""))</f>
        <v/>
      </c>
      <c r="I76" s="7"/>
      <c r="J76" s="7"/>
      <c r="K76" s="8" t="str">
        <f xml:space="preserve">IF($G76="","",IFERROR(IF(INDEX(EQUIPES!$D$2:$D$300,MATCH($G76,EQUIPES!$C$2:$C$300,0))="","",INDEX(EQUIPES!$D$2:$D$300,MATCH($G76,EQUIPES!$C$2:$C$300,0))),""))</f>
        <v/>
      </c>
      <c r="L76" s="8" t="str">
        <f xml:space="preserve">IF($G76="","",IFERROR(IF(INDEX(EQUIPES!$E$2:$E$300,MATCH($G76,EQUIPES!$C$2:$C$300,0))="","",INDEX(EQUIPES!$E$2:$E$300,MATCH($G76,EQUIPES!$C$2:$C$300,0))),""))</f>
        <v/>
      </c>
      <c r="M76" s="6" t="str">
        <f t="shared" si="1"/>
        <v/>
      </c>
      <c r="N76" s="6" t="str">
        <f xml:space="preserve">IF($G76="","",COUNTIFS(PESSOAS!$J$2:$J$600,$A76,PESSOAS!$C$2:$C$600,$G76,PESSOAS!$D$2:$D$600,"?*"))</f>
        <v/>
      </c>
      <c r="O76" s="4"/>
      <c r="P76" s="7"/>
      <c r="Q76" s="4"/>
    </row>
    <row r="77" ht="24" customHeight="1" spans="1:17">
      <c r="A77" s="4"/>
      <c r="B77" s="4"/>
      <c r="C77" s="4"/>
      <c r="D77" s="4"/>
      <c r="E77" s="4"/>
      <c r="F77" s="5" t="s">
        <v>31</v>
      </c>
      <c r="G77" s="4"/>
      <c r="H77" s="6" t="str">
        <f xml:space="preserve">IF($G77="","",IFERROR(INDEX(EQUIPES!$B$2:$B$300,MATCH($G77,EQUIPES!$C$2:$C$300,0))&amp;"",""))</f>
        <v/>
      </c>
      <c r="I77" s="7"/>
      <c r="J77" s="7"/>
      <c r="K77" s="8" t="str">
        <f xml:space="preserve">IF($G77="","",IFERROR(IF(INDEX(EQUIPES!$D$2:$D$300,MATCH($G77,EQUIPES!$C$2:$C$300,0))="","",INDEX(EQUIPES!$D$2:$D$300,MATCH($G77,EQUIPES!$C$2:$C$300,0))),""))</f>
        <v/>
      </c>
      <c r="L77" s="8" t="str">
        <f xml:space="preserve">IF($G77="","",IFERROR(IF(INDEX(EQUIPES!$E$2:$E$300,MATCH($G77,EQUIPES!$C$2:$C$300,0))="","",INDEX(EQUIPES!$E$2:$E$300,MATCH($G77,EQUIPES!$C$2:$C$300,0))),""))</f>
        <v/>
      </c>
      <c r="M77" s="6" t="str">
        <f t="shared" si="1"/>
        <v/>
      </c>
      <c r="N77" s="6" t="str">
        <f xml:space="preserve">IF($G77="","",COUNTIFS(PESSOAS!$J$2:$J$600,$A77,PESSOAS!$C$2:$C$600,$G77,PESSOAS!$D$2:$D$600,"?*"))</f>
        <v/>
      </c>
      <c r="O77" s="4"/>
      <c r="P77" s="7"/>
      <c r="Q77" s="4"/>
    </row>
    <row r="78" ht="24" customHeight="1" spans="1:17">
      <c r="A78" s="4"/>
      <c r="B78" s="4"/>
      <c r="C78" s="4"/>
      <c r="D78" s="4"/>
      <c r="E78" s="4"/>
      <c r="F78" s="5" t="s">
        <v>31</v>
      </c>
      <c r="G78" s="4"/>
      <c r="H78" s="6" t="str">
        <f xml:space="preserve">IF($G78="","",IFERROR(INDEX(EQUIPES!$B$2:$B$300,MATCH($G78,EQUIPES!$C$2:$C$300,0))&amp;"",""))</f>
        <v/>
      </c>
      <c r="I78" s="7"/>
      <c r="J78" s="7"/>
      <c r="K78" s="8" t="str">
        <f xml:space="preserve">IF($G78="","",IFERROR(IF(INDEX(EQUIPES!$D$2:$D$300,MATCH($G78,EQUIPES!$C$2:$C$300,0))="","",INDEX(EQUIPES!$D$2:$D$300,MATCH($G78,EQUIPES!$C$2:$C$300,0))),""))</f>
        <v/>
      </c>
      <c r="L78" s="8" t="str">
        <f xml:space="preserve">IF($G78="","",IFERROR(IF(INDEX(EQUIPES!$E$2:$E$300,MATCH($G78,EQUIPES!$C$2:$C$300,0))="","",INDEX(EQUIPES!$E$2:$E$300,MATCH($G78,EQUIPES!$C$2:$C$300,0))),""))</f>
        <v/>
      </c>
      <c r="M78" s="6" t="str">
        <f t="shared" si="1"/>
        <v/>
      </c>
      <c r="N78" s="6" t="str">
        <f xml:space="preserve">IF($G78="","",COUNTIFS(PESSOAS!$J$2:$J$600,$A78,PESSOAS!$C$2:$C$600,$G78,PESSOAS!$D$2:$D$600,"?*"))</f>
        <v/>
      </c>
      <c r="O78" s="4"/>
      <c r="P78" s="7"/>
      <c r="Q78" s="4"/>
    </row>
    <row r="79" ht="24" customHeight="1" spans="1:17">
      <c r="A79" s="4"/>
      <c r="B79" s="4"/>
      <c r="C79" s="4"/>
      <c r="D79" s="4"/>
      <c r="E79" s="4"/>
      <c r="F79" s="5" t="s">
        <v>31</v>
      </c>
      <c r="G79" s="4"/>
      <c r="H79" s="6" t="str">
        <f xml:space="preserve">IF($G79="","",IFERROR(INDEX(EQUIPES!$B$2:$B$300,MATCH($G79,EQUIPES!$C$2:$C$300,0))&amp;"",""))</f>
        <v/>
      </c>
      <c r="I79" s="7"/>
      <c r="J79" s="7"/>
      <c r="K79" s="8" t="str">
        <f xml:space="preserve">IF($G79="","",IFERROR(IF(INDEX(EQUIPES!$D$2:$D$300,MATCH($G79,EQUIPES!$C$2:$C$300,0))="","",INDEX(EQUIPES!$D$2:$D$300,MATCH($G79,EQUIPES!$C$2:$C$300,0))),""))</f>
        <v/>
      </c>
      <c r="L79" s="8" t="str">
        <f xml:space="preserve">IF($G79="","",IFERROR(IF(INDEX(EQUIPES!$E$2:$E$300,MATCH($G79,EQUIPES!$C$2:$C$300,0))="","",INDEX(EQUIPES!$E$2:$E$300,MATCH($G79,EQUIPES!$C$2:$C$300,0))),""))</f>
        <v/>
      </c>
      <c r="M79" s="6" t="str">
        <f t="shared" si="1"/>
        <v/>
      </c>
      <c r="N79" s="6" t="str">
        <f xml:space="preserve">IF($G79="","",COUNTIFS(PESSOAS!$J$2:$J$600,$A79,PESSOAS!$C$2:$C$600,$G79,PESSOAS!$D$2:$D$600,"?*"))</f>
        <v/>
      </c>
      <c r="O79" s="4"/>
      <c r="P79" s="7"/>
      <c r="Q79" s="4"/>
    </row>
    <row r="80" ht="24" customHeight="1" spans="1:17">
      <c r="A80" s="4"/>
      <c r="B80" s="4"/>
      <c r="C80" s="4"/>
      <c r="D80" s="4"/>
      <c r="E80" s="4"/>
      <c r="F80" s="5" t="s">
        <v>31</v>
      </c>
      <c r="G80" s="4"/>
      <c r="H80" s="6" t="str">
        <f xml:space="preserve">IF($G80="","",IFERROR(INDEX(EQUIPES!$B$2:$B$300,MATCH($G80,EQUIPES!$C$2:$C$300,0))&amp;"",""))</f>
        <v/>
      </c>
      <c r="I80" s="7"/>
      <c r="J80" s="7"/>
      <c r="K80" s="8" t="str">
        <f xml:space="preserve">IF($G80="","",IFERROR(IF(INDEX(EQUIPES!$D$2:$D$300,MATCH($G80,EQUIPES!$C$2:$C$300,0))="","",INDEX(EQUIPES!$D$2:$D$300,MATCH($G80,EQUIPES!$C$2:$C$300,0))),""))</f>
        <v/>
      </c>
      <c r="L80" s="8" t="str">
        <f xml:space="preserve">IF($G80="","",IFERROR(IF(INDEX(EQUIPES!$E$2:$E$300,MATCH($G80,EQUIPES!$C$2:$C$300,0))="","",INDEX(EQUIPES!$E$2:$E$300,MATCH($G80,EQUIPES!$C$2:$C$300,0))),""))</f>
        <v/>
      </c>
      <c r="M80" s="6" t="str">
        <f t="shared" si="1"/>
        <v/>
      </c>
      <c r="N80" s="6" t="str">
        <f xml:space="preserve">IF($G80="","",COUNTIFS(PESSOAS!$J$2:$J$600,$A80,PESSOAS!$C$2:$C$600,$G80,PESSOAS!$D$2:$D$600,"?*"))</f>
        <v/>
      </c>
      <c r="O80" s="4"/>
      <c r="P80" s="7"/>
      <c r="Q80" s="4"/>
    </row>
    <row r="81" ht="24" customHeight="1" spans="1:17">
      <c r="A81" s="4"/>
      <c r="B81" s="4"/>
      <c r="C81" s="4"/>
      <c r="D81" s="4"/>
      <c r="E81" s="4"/>
      <c r="F81" s="5" t="s">
        <v>31</v>
      </c>
      <c r="G81" s="4"/>
      <c r="H81" s="6" t="str">
        <f xml:space="preserve">IF($G81="","",IFERROR(INDEX(EQUIPES!$B$2:$B$300,MATCH($G81,EQUIPES!$C$2:$C$300,0))&amp;"",""))</f>
        <v/>
      </c>
      <c r="I81" s="7"/>
      <c r="J81" s="7"/>
      <c r="K81" s="8" t="str">
        <f xml:space="preserve">IF($G81="","",IFERROR(IF(INDEX(EQUIPES!$D$2:$D$300,MATCH($G81,EQUIPES!$C$2:$C$300,0))="","",INDEX(EQUIPES!$D$2:$D$300,MATCH($G81,EQUIPES!$C$2:$C$300,0))),""))</f>
        <v/>
      </c>
      <c r="L81" s="8" t="str">
        <f xml:space="preserve">IF($G81="","",IFERROR(IF(INDEX(EQUIPES!$E$2:$E$300,MATCH($G81,EQUIPES!$C$2:$C$300,0))="","",INDEX(EQUIPES!$E$2:$E$300,MATCH($G81,EQUIPES!$C$2:$C$300,0))),""))</f>
        <v/>
      </c>
      <c r="M81" s="6" t="str">
        <f t="shared" si="1"/>
        <v/>
      </c>
      <c r="N81" s="6" t="str">
        <f xml:space="preserve">IF($G81="","",COUNTIFS(PESSOAS!$J$2:$J$600,$A81,PESSOAS!$C$2:$C$600,$G81,PESSOAS!$D$2:$D$600,"?*"))</f>
        <v/>
      </c>
      <c r="O81" s="4"/>
      <c r="P81" s="7"/>
      <c r="Q81" s="4"/>
    </row>
    <row r="82" ht="24" customHeight="1" spans="1:17">
      <c r="A82" s="4"/>
      <c r="B82" s="4"/>
      <c r="C82" s="4"/>
      <c r="D82" s="4"/>
      <c r="E82" s="4"/>
      <c r="F82" s="5" t="s">
        <v>31</v>
      </c>
      <c r="G82" s="4"/>
      <c r="H82" s="6" t="str">
        <f xml:space="preserve">IF($G82="","",IFERROR(INDEX(EQUIPES!$B$2:$B$300,MATCH($G82,EQUIPES!$C$2:$C$300,0))&amp;"",""))</f>
        <v/>
      </c>
      <c r="I82" s="7"/>
      <c r="J82" s="7"/>
      <c r="K82" s="8" t="str">
        <f xml:space="preserve">IF($G82="","",IFERROR(IF(INDEX(EQUIPES!$D$2:$D$300,MATCH($G82,EQUIPES!$C$2:$C$300,0))="","",INDEX(EQUIPES!$D$2:$D$300,MATCH($G82,EQUIPES!$C$2:$C$300,0))),""))</f>
        <v/>
      </c>
      <c r="L82" s="8" t="str">
        <f xml:space="preserve">IF($G82="","",IFERROR(IF(INDEX(EQUIPES!$E$2:$E$300,MATCH($G82,EQUIPES!$C$2:$C$300,0))="","",INDEX(EQUIPES!$E$2:$E$300,MATCH($G82,EQUIPES!$C$2:$C$300,0))),""))</f>
        <v/>
      </c>
      <c r="M82" s="6" t="str">
        <f t="shared" si="1"/>
        <v/>
      </c>
      <c r="N82" s="6" t="str">
        <f xml:space="preserve">IF($G82="","",COUNTIFS(PESSOAS!$J$2:$J$600,$A82,PESSOAS!$C$2:$C$600,$G82,PESSOAS!$D$2:$D$600,"?*"))</f>
        <v/>
      </c>
      <c r="O82" s="4"/>
      <c r="P82" s="7"/>
      <c r="Q82" s="4"/>
    </row>
    <row r="83" ht="24" customHeight="1" spans="1:17">
      <c r="A83" s="4"/>
      <c r="B83" s="4"/>
      <c r="C83" s="4"/>
      <c r="D83" s="4"/>
      <c r="E83" s="4"/>
      <c r="F83" s="5" t="s">
        <v>31</v>
      </c>
      <c r="G83" s="4"/>
      <c r="H83" s="6" t="str">
        <f xml:space="preserve">IF($G83="","",IFERROR(INDEX(EQUIPES!$B$2:$B$300,MATCH($G83,EQUIPES!$C$2:$C$300,0))&amp;"",""))</f>
        <v/>
      </c>
      <c r="I83" s="7"/>
      <c r="J83" s="7"/>
      <c r="K83" s="8" t="str">
        <f xml:space="preserve">IF($G83="","",IFERROR(IF(INDEX(EQUIPES!$D$2:$D$300,MATCH($G83,EQUIPES!$C$2:$C$300,0))="","",INDEX(EQUIPES!$D$2:$D$300,MATCH($G83,EQUIPES!$C$2:$C$300,0))),""))</f>
        <v/>
      </c>
      <c r="L83" s="8" t="str">
        <f xml:space="preserve">IF($G83="","",IFERROR(IF(INDEX(EQUIPES!$E$2:$E$300,MATCH($G83,EQUIPES!$C$2:$C$300,0))="","",INDEX(EQUIPES!$E$2:$E$300,MATCH($G83,EQUIPES!$C$2:$C$300,0))),""))</f>
        <v/>
      </c>
      <c r="M83" s="6" t="str">
        <f t="shared" si="1"/>
        <v/>
      </c>
      <c r="N83" s="6" t="str">
        <f xml:space="preserve">IF($G83="","",COUNTIFS(PESSOAS!$J$2:$J$600,$A83,PESSOAS!$C$2:$C$600,$G83,PESSOAS!$D$2:$D$600,"?*"))</f>
        <v/>
      </c>
      <c r="O83" s="4"/>
      <c r="P83" s="7"/>
      <c r="Q83" s="4"/>
    </row>
    <row r="84" ht="24" customHeight="1" spans="1:17">
      <c r="A84" s="4"/>
      <c r="B84" s="4"/>
      <c r="C84" s="4"/>
      <c r="D84" s="4"/>
      <c r="E84" s="4"/>
      <c r="F84" s="5" t="s">
        <v>31</v>
      </c>
      <c r="G84" s="4"/>
      <c r="H84" s="6" t="str">
        <f xml:space="preserve">IF($G84="","",IFERROR(INDEX(EQUIPES!$B$2:$B$300,MATCH($G84,EQUIPES!$C$2:$C$300,0))&amp;"",""))</f>
        <v/>
      </c>
      <c r="I84" s="7"/>
      <c r="J84" s="7"/>
      <c r="K84" s="8" t="str">
        <f xml:space="preserve">IF($G84="","",IFERROR(IF(INDEX(EQUIPES!$D$2:$D$300,MATCH($G84,EQUIPES!$C$2:$C$300,0))="","",INDEX(EQUIPES!$D$2:$D$300,MATCH($G84,EQUIPES!$C$2:$C$300,0))),""))</f>
        <v/>
      </c>
      <c r="L84" s="8" t="str">
        <f xml:space="preserve">IF($G84="","",IFERROR(IF(INDEX(EQUIPES!$E$2:$E$300,MATCH($G84,EQUIPES!$C$2:$C$300,0))="","",INDEX(EQUIPES!$E$2:$E$300,MATCH($G84,EQUIPES!$C$2:$C$300,0))),""))</f>
        <v/>
      </c>
      <c r="M84" s="6" t="str">
        <f t="shared" si="1"/>
        <v/>
      </c>
      <c r="N84" s="6" t="str">
        <f xml:space="preserve">IF($G84="","",COUNTIFS(PESSOAS!$J$2:$J$600,$A84,PESSOAS!$C$2:$C$600,$G84,PESSOAS!$D$2:$D$600,"?*"))</f>
        <v/>
      </c>
      <c r="O84" s="4"/>
      <c r="P84" s="7"/>
      <c r="Q84" s="4"/>
    </row>
    <row r="85" ht="24" customHeight="1" spans="1:17">
      <c r="A85" s="4"/>
      <c r="B85" s="4"/>
      <c r="C85" s="4"/>
      <c r="D85" s="4"/>
      <c r="E85" s="4"/>
      <c r="F85" s="5" t="s">
        <v>31</v>
      </c>
      <c r="G85" s="4"/>
      <c r="H85" s="6" t="str">
        <f xml:space="preserve">IF($G85="","",IFERROR(INDEX(EQUIPES!$B$2:$B$300,MATCH($G85,EQUIPES!$C$2:$C$300,0))&amp;"",""))</f>
        <v/>
      </c>
      <c r="I85" s="7"/>
      <c r="J85" s="7"/>
      <c r="K85" s="8" t="str">
        <f xml:space="preserve">IF($G85="","",IFERROR(IF(INDEX(EQUIPES!$D$2:$D$300,MATCH($G85,EQUIPES!$C$2:$C$300,0))="","",INDEX(EQUIPES!$D$2:$D$300,MATCH($G85,EQUIPES!$C$2:$C$300,0))),""))</f>
        <v/>
      </c>
      <c r="L85" s="8" t="str">
        <f xml:space="preserve">IF($G85="","",IFERROR(IF(INDEX(EQUIPES!$E$2:$E$300,MATCH($G85,EQUIPES!$C$2:$C$300,0))="","",INDEX(EQUIPES!$E$2:$E$300,MATCH($G85,EQUIPES!$C$2:$C$300,0))),""))</f>
        <v/>
      </c>
      <c r="M85" s="6" t="str">
        <f t="shared" si="1"/>
        <v/>
      </c>
      <c r="N85" s="6" t="str">
        <f xml:space="preserve">IF($G85="","",COUNTIFS(PESSOAS!$J$2:$J$600,$A85,PESSOAS!$C$2:$C$600,$G85,PESSOAS!$D$2:$D$600,"?*"))</f>
        <v/>
      </c>
      <c r="O85" s="4"/>
      <c r="P85" s="7"/>
      <c r="Q85" s="4"/>
    </row>
    <row r="86" ht="24" customHeight="1" spans="1:17">
      <c r="A86" s="4"/>
      <c r="B86" s="4"/>
      <c r="C86" s="4"/>
      <c r="D86" s="4"/>
      <c r="E86" s="4"/>
      <c r="F86" s="5" t="s">
        <v>31</v>
      </c>
      <c r="G86" s="4"/>
      <c r="H86" s="6" t="str">
        <f xml:space="preserve">IF($G86="","",IFERROR(INDEX(EQUIPES!$B$2:$B$300,MATCH($G86,EQUIPES!$C$2:$C$300,0))&amp;"",""))</f>
        <v/>
      </c>
      <c r="I86" s="7"/>
      <c r="J86" s="7"/>
      <c r="K86" s="8" t="str">
        <f xml:space="preserve">IF($G86="","",IFERROR(IF(INDEX(EQUIPES!$D$2:$D$300,MATCH($G86,EQUIPES!$C$2:$C$300,0))="","",INDEX(EQUIPES!$D$2:$D$300,MATCH($G86,EQUIPES!$C$2:$C$300,0))),""))</f>
        <v/>
      </c>
      <c r="L86" s="8" t="str">
        <f xml:space="preserve">IF($G86="","",IFERROR(IF(INDEX(EQUIPES!$E$2:$E$300,MATCH($G86,EQUIPES!$C$2:$C$300,0))="","",INDEX(EQUIPES!$E$2:$E$300,MATCH($G86,EQUIPES!$C$2:$C$300,0))),""))</f>
        <v/>
      </c>
      <c r="M86" s="6" t="str">
        <f t="shared" si="1"/>
        <v/>
      </c>
      <c r="N86" s="6" t="str">
        <f xml:space="preserve">IF($G86="","",COUNTIFS(PESSOAS!$J$2:$J$600,$A86,PESSOAS!$C$2:$C$600,$G86,PESSOAS!$D$2:$D$600,"?*"))</f>
        <v/>
      </c>
      <c r="O86" s="4"/>
      <c r="P86" s="7"/>
      <c r="Q86" s="4"/>
    </row>
    <row r="87" ht="24" customHeight="1" spans="1:17">
      <c r="A87" s="4"/>
      <c r="B87" s="4"/>
      <c r="C87" s="4"/>
      <c r="D87" s="4"/>
      <c r="E87" s="4"/>
      <c r="F87" s="5" t="s">
        <v>31</v>
      </c>
      <c r="G87" s="4"/>
      <c r="H87" s="6" t="str">
        <f xml:space="preserve">IF($G87="","",IFERROR(INDEX(EQUIPES!$B$2:$B$300,MATCH($G87,EQUIPES!$C$2:$C$300,0))&amp;"",""))</f>
        <v/>
      </c>
      <c r="I87" s="7"/>
      <c r="J87" s="7"/>
      <c r="K87" s="8" t="str">
        <f xml:space="preserve">IF($G87="","",IFERROR(IF(INDEX(EQUIPES!$D$2:$D$300,MATCH($G87,EQUIPES!$C$2:$C$300,0))="","",INDEX(EQUIPES!$D$2:$D$300,MATCH($G87,EQUIPES!$C$2:$C$300,0))),""))</f>
        <v/>
      </c>
      <c r="L87" s="8" t="str">
        <f xml:space="preserve">IF($G87="","",IFERROR(IF(INDEX(EQUIPES!$E$2:$E$300,MATCH($G87,EQUIPES!$C$2:$C$300,0))="","",INDEX(EQUIPES!$E$2:$E$300,MATCH($G87,EQUIPES!$C$2:$C$300,0))),""))</f>
        <v/>
      </c>
      <c r="M87" s="6" t="str">
        <f t="shared" si="1"/>
        <v/>
      </c>
      <c r="N87" s="6" t="str">
        <f xml:space="preserve">IF($G87="","",COUNTIFS(PESSOAS!$J$2:$J$600,$A87,PESSOAS!$C$2:$C$600,$G87,PESSOAS!$D$2:$D$600,"?*"))</f>
        <v/>
      </c>
      <c r="O87" s="4"/>
      <c r="P87" s="7"/>
      <c r="Q87" s="4"/>
    </row>
    <row r="88" ht="24" customHeight="1" spans="1:17">
      <c r="A88" s="4"/>
      <c r="B88" s="4"/>
      <c r="C88" s="4"/>
      <c r="D88" s="4"/>
      <c r="E88" s="4"/>
      <c r="F88" s="5" t="s">
        <v>31</v>
      </c>
      <c r="G88" s="4"/>
      <c r="H88" s="6" t="str">
        <f xml:space="preserve">IF($G88="","",IFERROR(INDEX(EQUIPES!$B$2:$B$300,MATCH($G88,EQUIPES!$C$2:$C$300,0))&amp;"",""))</f>
        <v/>
      </c>
      <c r="I88" s="7"/>
      <c r="J88" s="7"/>
      <c r="K88" s="8" t="str">
        <f xml:space="preserve">IF($G88="","",IFERROR(IF(INDEX(EQUIPES!$D$2:$D$300,MATCH($G88,EQUIPES!$C$2:$C$300,0))="","",INDEX(EQUIPES!$D$2:$D$300,MATCH($G88,EQUIPES!$C$2:$C$300,0))),""))</f>
        <v/>
      </c>
      <c r="L88" s="8" t="str">
        <f xml:space="preserve">IF($G88="","",IFERROR(IF(INDEX(EQUIPES!$E$2:$E$300,MATCH($G88,EQUIPES!$C$2:$C$300,0))="","",INDEX(EQUIPES!$E$2:$E$300,MATCH($G88,EQUIPES!$C$2:$C$300,0))),""))</f>
        <v/>
      </c>
      <c r="M88" s="6" t="str">
        <f t="shared" si="1"/>
        <v/>
      </c>
      <c r="N88" s="6" t="str">
        <f xml:space="preserve">IF($G88="","",COUNTIFS(PESSOAS!$J$2:$J$600,$A88,PESSOAS!$C$2:$C$600,$G88,PESSOAS!$D$2:$D$600,"?*"))</f>
        <v/>
      </c>
      <c r="O88" s="4"/>
      <c r="P88" s="7"/>
      <c r="Q88" s="4"/>
    </row>
    <row r="89" ht="24" customHeight="1" spans="1:17">
      <c r="A89" s="4"/>
      <c r="B89" s="4"/>
      <c r="C89" s="4"/>
      <c r="D89" s="4"/>
      <c r="E89" s="4"/>
      <c r="F89" s="5" t="s">
        <v>31</v>
      </c>
      <c r="G89" s="4"/>
      <c r="H89" s="6" t="str">
        <f xml:space="preserve">IF($G89="","",IFERROR(INDEX(EQUIPES!$B$2:$B$300,MATCH($G89,EQUIPES!$C$2:$C$300,0))&amp;"",""))</f>
        <v/>
      </c>
      <c r="I89" s="7"/>
      <c r="J89" s="7"/>
      <c r="K89" s="8" t="str">
        <f xml:space="preserve">IF($G89="","",IFERROR(IF(INDEX(EQUIPES!$D$2:$D$300,MATCH($G89,EQUIPES!$C$2:$C$300,0))="","",INDEX(EQUIPES!$D$2:$D$300,MATCH($G89,EQUIPES!$C$2:$C$300,0))),""))</f>
        <v/>
      </c>
      <c r="L89" s="8" t="str">
        <f xml:space="preserve">IF($G89="","",IFERROR(IF(INDEX(EQUIPES!$E$2:$E$300,MATCH($G89,EQUIPES!$C$2:$C$300,0))="","",INDEX(EQUIPES!$E$2:$E$300,MATCH($G89,EQUIPES!$C$2:$C$300,0))),""))</f>
        <v/>
      </c>
      <c r="M89" s="6" t="str">
        <f t="shared" si="1"/>
        <v/>
      </c>
      <c r="N89" s="6" t="str">
        <f xml:space="preserve">IF($G89="","",COUNTIFS(PESSOAS!$J$2:$J$600,$A89,PESSOAS!$C$2:$C$600,$G89,PESSOAS!$D$2:$D$600,"?*"))</f>
        <v/>
      </c>
      <c r="O89" s="4"/>
      <c r="P89" s="7"/>
      <c r="Q89" s="4"/>
    </row>
    <row r="90" ht="24" customHeight="1" spans="1:17">
      <c r="A90" s="4"/>
      <c r="B90" s="4"/>
      <c r="C90" s="4"/>
      <c r="D90" s="4"/>
      <c r="E90" s="4"/>
      <c r="F90" s="5" t="s">
        <v>31</v>
      </c>
      <c r="G90" s="4"/>
      <c r="H90" s="6" t="str">
        <f xml:space="preserve">IF($G90="","",IFERROR(INDEX(EQUIPES!$B$2:$B$300,MATCH($G90,EQUIPES!$C$2:$C$300,0))&amp;"",""))</f>
        <v/>
      </c>
      <c r="I90" s="7"/>
      <c r="J90" s="7"/>
      <c r="K90" s="8" t="str">
        <f xml:space="preserve">IF($G90="","",IFERROR(IF(INDEX(EQUIPES!$D$2:$D$300,MATCH($G90,EQUIPES!$C$2:$C$300,0))="","",INDEX(EQUIPES!$D$2:$D$300,MATCH($G90,EQUIPES!$C$2:$C$300,0))),""))</f>
        <v/>
      </c>
      <c r="L90" s="8" t="str">
        <f xml:space="preserve">IF($G90="","",IFERROR(IF(INDEX(EQUIPES!$E$2:$E$300,MATCH($G90,EQUIPES!$C$2:$C$300,0))="","",INDEX(EQUIPES!$E$2:$E$300,MATCH($G90,EQUIPES!$C$2:$C$300,0))),""))</f>
        <v/>
      </c>
      <c r="M90" s="6" t="str">
        <f t="shared" si="1"/>
        <v/>
      </c>
      <c r="N90" s="6" t="str">
        <f xml:space="preserve">IF($G90="","",COUNTIFS(PESSOAS!$J$2:$J$600,$A90,PESSOAS!$C$2:$C$600,$G90,PESSOAS!$D$2:$D$600,"?*"))</f>
        <v/>
      </c>
      <c r="O90" s="4"/>
      <c r="P90" s="7"/>
      <c r="Q90" s="4"/>
    </row>
    <row r="91" ht="24" customHeight="1" spans="1:17">
      <c r="A91" s="4"/>
      <c r="B91" s="4"/>
      <c r="C91" s="4"/>
      <c r="D91" s="4"/>
      <c r="E91" s="4"/>
      <c r="F91" s="5" t="s">
        <v>31</v>
      </c>
      <c r="G91" s="4"/>
      <c r="H91" s="6" t="str">
        <f xml:space="preserve">IF($G91="","",IFERROR(INDEX(EQUIPES!$B$2:$B$300,MATCH($G91,EQUIPES!$C$2:$C$300,0))&amp;"",""))</f>
        <v/>
      </c>
      <c r="I91" s="7"/>
      <c r="J91" s="7"/>
      <c r="K91" s="8" t="str">
        <f xml:space="preserve">IF($G91="","",IFERROR(IF(INDEX(EQUIPES!$D$2:$D$300,MATCH($G91,EQUIPES!$C$2:$C$300,0))="","",INDEX(EQUIPES!$D$2:$D$300,MATCH($G91,EQUIPES!$C$2:$C$300,0))),""))</f>
        <v/>
      </c>
      <c r="L91" s="8" t="str">
        <f xml:space="preserve">IF($G91="","",IFERROR(IF(INDEX(EQUIPES!$E$2:$E$300,MATCH($G91,EQUIPES!$C$2:$C$300,0))="","",INDEX(EQUIPES!$E$2:$E$300,MATCH($G91,EQUIPES!$C$2:$C$300,0))),""))</f>
        <v/>
      </c>
      <c r="M91" s="6" t="str">
        <f t="shared" si="1"/>
        <v/>
      </c>
      <c r="N91" s="6" t="str">
        <f xml:space="preserve">IF($G91="","",COUNTIFS(PESSOAS!$J$2:$J$600,$A91,PESSOAS!$C$2:$C$600,$G91,PESSOAS!$D$2:$D$600,"?*"))</f>
        <v/>
      </c>
      <c r="O91" s="4"/>
      <c r="P91" s="7"/>
      <c r="Q91" s="4"/>
    </row>
    <row r="92" ht="24" customHeight="1" spans="1:17">
      <c r="A92" s="4"/>
      <c r="B92" s="4"/>
      <c r="C92" s="4"/>
      <c r="D92" s="4"/>
      <c r="E92" s="4"/>
      <c r="F92" s="5" t="s">
        <v>31</v>
      </c>
      <c r="G92" s="4"/>
      <c r="H92" s="6" t="str">
        <f xml:space="preserve">IF($G92="","",IFERROR(INDEX(EQUIPES!$B$2:$B$300,MATCH($G92,EQUIPES!$C$2:$C$300,0))&amp;"",""))</f>
        <v/>
      </c>
      <c r="I92" s="7"/>
      <c r="J92" s="7"/>
      <c r="K92" s="8" t="str">
        <f xml:space="preserve">IF($G92="","",IFERROR(IF(INDEX(EQUIPES!$D$2:$D$300,MATCH($G92,EQUIPES!$C$2:$C$300,0))="","",INDEX(EQUIPES!$D$2:$D$300,MATCH($G92,EQUIPES!$C$2:$C$300,0))),""))</f>
        <v/>
      </c>
      <c r="L92" s="8" t="str">
        <f xml:space="preserve">IF($G92="","",IFERROR(IF(INDEX(EQUIPES!$E$2:$E$300,MATCH($G92,EQUIPES!$C$2:$C$300,0))="","",INDEX(EQUIPES!$E$2:$E$300,MATCH($G92,EQUIPES!$C$2:$C$300,0))),""))</f>
        <v/>
      </c>
      <c r="M92" s="6" t="str">
        <f t="shared" si="1"/>
        <v/>
      </c>
      <c r="N92" s="6" t="str">
        <f xml:space="preserve">IF($G92="","",COUNTIFS(PESSOAS!$J$2:$J$600,$A92,PESSOAS!$C$2:$C$600,$G92,PESSOAS!$D$2:$D$600,"?*"))</f>
        <v/>
      </c>
      <c r="O92" s="4"/>
      <c r="P92" s="7"/>
      <c r="Q92" s="4"/>
    </row>
    <row r="93" ht="24" customHeight="1" spans="1:17">
      <c r="A93" s="4"/>
      <c r="B93" s="4"/>
      <c r="C93" s="4"/>
      <c r="D93" s="4"/>
      <c r="E93" s="4"/>
      <c r="F93" s="5" t="s">
        <v>31</v>
      </c>
      <c r="G93" s="4"/>
      <c r="H93" s="6" t="str">
        <f xml:space="preserve">IF($G93="","",IFERROR(INDEX(EQUIPES!$B$2:$B$300,MATCH($G93,EQUIPES!$C$2:$C$300,0))&amp;"",""))</f>
        <v/>
      </c>
      <c r="I93" s="7"/>
      <c r="J93" s="7"/>
      <c r="K93" s="8" t="str">
        <f xml:space="preserve">IF($G93="","",IFERROR(IF(INDEX(EQUIPES!$D$2:$D$300,MATCH($G93,EQUIPES!$C$2:$C$300,0))="","",INDEX(EQUIPES!$D$2:$D$300,MATCH($G93,EQUIPES!$C$2:$C$300,0))),""))</f>
        <v/>
      </c>
      <c r="L93" s="8" t="str">
        <f xml:space="preserve">IF($G93="","",IFERROR(IF(INDEX(EQUIPES!$E$2:$E$300,MATCH($G93,EQUIPES!$C$2:$C$300,0))="","",INDEX(EQUIPES!$E$2:$E$300,MATCH($G93,EQUIPES!$C$2:$C$300,0))),""))</f>
        <v/>
      </c>
      <c r="M93" s="6" t="str">
        <f t="shared" si="1"/>
        <v/>
      </c>
      <c r="N93" s="6" t="str">
        <f xml:space="preserve">IF($G93="","",COUNTIFS(PESSOAS!$J$2:$J$600,$A93,PESSOAS!$C$2:$C$600,$G93,PESSOAS!$D$2:$D$600,"?*"))</f>
        <v/>
      </c>
      <c r="O93" s="4"/>
      <c r="P93" s="7"/>
      <c r="Q93" s="4"/>
    </row>
    <row r="94" ht="24" customHeight="1" spans="1:17">
      <c r="A94" s="4"/>
      <c r="B94" s="4"/>
      <c r="C94" s="4"/>
      <c r="D94" s="4"/>
      <c r="E94" s="4"/>
      <c r="F94" s="5" t="s">
        <v>31</v>
      </c>
      <c r="G94" s="4"/>
      <c r="H94" s="6" t="str">
        <f xml:space="preserve">IF($G94="","",IFERROR(INDEX(EQUIPES!$B$2:$B$300,MATCH($G94,EQUIPES!$C$2:$C$300,0))&amp;"",""))</f>
        <v/>
      </c>
      <c r="I94" s="7"/>
      <c r="J94" s="7"/>
      <c r="K94" s="8" t="str">
        <f xml:space="preserve">IF($G94="","",IFERROR(IF(INDEX(EQUIPES!$D$2:$D$300,MATCH($G94,EQUIPES!$C$2:$C$300,0))="","",INDEX(EQUIPES!$D$2:$D$300,MATCH($G94,EQUIPES!$C$2:$C$300,0))),""))</f>
        <v/>
      </c>
      <c r="L94" s="8" t="str">
        <f xml:space="preserve">IF($G94="","",IFERROR(IF(INDEX(EQUIPES!$E$2:$E$300,MATCH($G94,EQUIPES!$C$2:$C$300,0))="","",INDEX(EQUIPES!$E$2:$E$300,MATCH($G94,EQUIPES!$C$2:$C$300,0))),""))</f>
        <v/>
      </c>
      <c r="M94" s="6" t="str">
        <f t="shared" si="1"/>
        <v/>
      </c>
      <c r="N94" s="6" t="str">
        <f xml:space="preserve">IF($G94="","",COUNTIFS(PESSOAS!$J$2:$J$600,$A94,PESSOAS!$C$2:$C$600,$G94,PESSOAS!$D$2:$D$600,"?*"))</f>
        <v/>
      </c>
      <c r="O94" s="4"/>
      <c r="P94" s="7"/>
      <c r="Q94" s="4"/>
    </row>
    <row r="95" ht="24" customHeight="1" spans="1:17">
      <c r="A95" s="4"/>
      <c r="B95" s="4"/>
      <c r="C95" s="4"/>
      <c r="D95" s="4"/>
      <c r="E95" s="4"/>
      <c r="F95" s="5" t="s">
        <v>31</v>
      </c>
      <c r="G95" s="4"/>
      <c r="H95" s="6" t="str">
        <f xml:space="preserve">IF($G95="","",IFERROR(INDEX(EQUIPES!$B$2:$B$300,MATCH($G95,EQUIPES!$C$2:$C$300,0))&amp;"",""))</f>
        <v/>
      </c>
      <c r="I95" s="7"/>
      <c r="J95" s="7"/>
      <c r="K95" s="8" t="str">
        <f xml:space="preserve">IF($G95="","",IFERROR(IF(INDEX(EQUIPES!$D$2:$D$300,MATCH($G95,EQUIPES!$C$2:$C$300,0))="","",INDEX(EQUIPES!$D$2:$D$300,MATCH($G95,EQUIPES!$C$2:$C$300,0))),""))</f>
        <v/>
      </c>
      <c r="L95" s="8" t="str">
        <f xml:space="preserve">IF($G95="","",IFERROR(IF(INDEX(EQUIPES!$E$2:$E$300,MATCH($G95,EQUIPES!$C$2:$C$300,0))="","",INDEX(EQUIPES!$E$2:$E$300,MATCH($G95,EQUIPES!$C$2:$C$300,0))),""))</f>
        <v/>
      </c>
      <c r="M95" s="6" t="str">
        <f t="shared" si="1"/>
        <v/>
      </c>
      <c r="N95" s="6" t="str">
        <f xml:space="preserve">IF($G95="","",COUNTIFS(PESSOAS!$J$2:$J$600,$A95,PESSOAS!$C$2:$C$600,$G95,PESSOAS!$D$2:$D$600,"?*"))</f>
        <v/>
      </c>
      <c r="O95" s="4"/>
      <c r="P95" s="7"/>
      <c r="Q95" s="4"/>
    </row>
    <row r="96" ht="24" customHeight="1" spans="1:17">
      <c r="A96" s="4"/>
      <c r="B96" s="4"/>
      <c r="C96" s="4"/>
      <c r="D96" s="4"/>
      <c r="E96" s="4"/>
      <c r="F96" s="5" t="s">
        <v>31</v>
      </c>
      <c r="G96" s="4"/>
      <c r="H96" s="6" t="str">
        <f xml:space="preserve">IF($G96="","",IFERROR(INDEX(EQUIPES!$B$2:$B$300,MATCH($G96,EQUIPES!$C$2:$C$300,0))&amp;"",""))</f>
        <v/>
      </c>
      <c r="I96" s="7"/>
      <c r="J96" s="7"/>
      <c r="K96" s="8" t="str">
        <f xml:space="preserve">IF($G96="","",IFERROR(IF(INDEX(EQUIPES!$D$2:$D$300,MATCH($G96,EQUIPES!$C$2:$C$300,0))="","",INDEX(EQUIPES!$D$2:$D$300,MATCH($G96,EQUIPES!$C$2:$C$300,0))),""))</f>
        <v/>
      </c>
      <c r="L96" s="8" t="str">
        <f xml:space="preserve">IF($G96="","",IFERROR(IF(INDEX(EQUIPES!$E$2:$E$300,MATCH($G96,EQUIPES!$C$2:$C$300,0))="","",INDEX(EQUIPES!$E$2:$E$300,MATCH($G96,EQUIPES!$C$2:$C$300,0))),""))</f>
        <v/>
      </c>
      <c r="M96" s="6" t="str">
        <f t="shared" si="1"/>
        <v/>
      </c>
      <c r="N96" s="6" t="str">
        <f xml:space="preserve">IF($G96="","",COUNTIFS(PESSOAS!$J$2:$J$600,$A96,PESSOAS!$C$2:$C$600,$G96,PESSOAS!$D$2:$D$600,"?*"))</f>
        <v/>
      </c>
      <c r="O96" s="4"/>
      <c r="P96" s="7"/>
      <c r="Q96" s="4"/>
    </row>
    <row r="97" ht="24" customHeight="1" spans="1:17">
      <c r="A97" s="4"/>
      <c r="B97" s="4"/>
      <c r="C97" s="4"/>
      <c r="D97" s="4"/>
      <c r="E97" s="4"/>
      <c r="F97" s="5" t="s">
        <v>31</v>
      </c>
      <c r="G97" s="4"/>
      <c r="H97" s="6" t="str">
        <f xml:space="preserve">IF($G97="","",IFERROR(INDEX(EQUIPES!$B$2:$B$300,MATCH($G97,EQUIPES!$C$2:$C$300,0))&amp;"",""))</f>
        <v/>
      </c>
      <c r="I97" s="7"/>
      <c r="J97" s="7"/>
      <c r="K97" s="8" t="str">
        <f xml:space="preserve">IF($G97="","",IFERROR(IF(INDEX(EQUIPES!$D$2:$D$300,MATCH($G97,EQUIPES!$C$2:$C$300,0))="","",INDEX(EQUIPES!$D$2:$D$300,MATCH($G97,EQUIPES!$C$2:$C$300,0))),""))</f>
        <v/>
      </c>
      <c r="L97" s="8" t="str">
        <f xml:space="preserve">IF($G97="","",IFERROR(IF(INDEX(EQUIPES!$E$2:$E$300,MATCH($G97,EQUIPES!$C$2:$C$300,0))="","",INDEX(EQUIPES!$E$2:$E$300,MATCH($G97,EQUIPES!$C$2:$C$300,0))),""))</f>
        <v/>
      </c>
      <c r="M97" s="6" t="str">
        <f t="shared" si="1"/>
        <v/>
      </c>
      <c r="N97" s="6" t="str">
        <f xml:space="preserve">IF($G97="","",COUNTIFS(PESSOAS!$J$2:$J$600,$A97,PESSOAS!$C$2:$C$600,$G97,PESSOAS!$D$2:$D$600,"?*"))</f>
        <v/>
      </c>
      <c r="O97" s="4"/>
      <c r="P97" s="7"/>
      <c r="Q97" s="4"/>
    </row>
    <row r="98" ht="24" customHeight="1" spans="1:17">
      <c r="A98" s="4"/>
      <c r="B98" s="4"/>
      <c r="C98" s="4"/>
      <c r="D98" s="4"/>
      <c r="E98" s="4"/>
      <c r="F98" s="5" t="s">
        <v>31</v>
      </c>
      <c r="G98" s="4"/>
      <c r="H98" s="6" t="str">
        <f xml:space="preserve">IF($G98="","",IFERROR(INDEX(EQUIPES!$B$2:$B$300,MATCH($G98,EQUIPES!$C$2:$C$300,0))&amp;"",""))</f>
        <v/>
      </c>
      <c r="I98" s="7"/>
      <c r="J98" s="7"/>
      <c r="K98" s="8" t="str">
        <f xml:space="preserve">IF($G98="","",IFERROR(IF(INDEX(EQUIPES!$D$2:$D$300,MATCH($G98,EQUIPES!$C$2:$C$300,0))="","",INDEX(EQUIPES!$D$2:$D$300,MATCH($G98,EQUIPES!$C$2:$C$300,0))),""))</f>
        <v/>
      </c>
      <c r="L98" s="8" t="str">
        <f xml:space="preserve">IF($G98="","",IFERROR(IF(INDEX(EQUIPES!$E$2:$E$300,MATCH($G98,EQUIPES!$C$2:$C$300,0))="","",INDEX(EQUIPES!$E$2:$E$300,MATCH($G98,EQUIPES!$C$2:$C$300,0))),""))</f>
        <v/>
      </c>
      <c r="M98" s="6" t="str">
        <f t="shared" si="1"/>
        <v/>
      </c>
      <c r="N98" s="6" t="str">
        <f xml:space="preserve">IF($G98="","",COUNTIFS(PESSOAS!$J$2:$J$600,$A98,PESSOAS!$C$2:$C$600,$G98,PESSOAS!$D$2:$D$600,"?*"))</f>
        <v/>
      </c>
      <c r="O98" s="4"/>
      <c r="P98" s="7"/>
      <c r="Q98" s="4"/>
    </row>
    <row r="99" ht="24" customHeight="1" spans="1:17">
      <c r="A99" s="4"/>
      <c r="B99" s="4"/>
      <c r="C99" s="4"/>
      <c r="D99" s="4"/>
      <c r="E99" s="4"/>
      <c r="F99" s="5" t="s">
        <v>31</v>
      </c>
      <c r="G99" s="4"/>
      <c r="H99" s="6" t="str">
        <f xml:space="preserve">IF($G99="","",IFERROR(INDEX(EQUIPES!$B$2:$B$300,MATCH($G99,EQUIPES!$C$2:$C$300,0))&amp;"",""))</f>
        <v/>
      </c>
      <c r="I99" s="7"/>
      <c r="J99" s="7"/>
      <c r="K99" s="8" t="str">
        <f xml:space="preserve">IF($G99="","",IFERROR(IF(INDEX(EQUIPES!$D$2:$D$300,MATCH($G99,EQUIPES!$C$2:$C$300,0))="","",INDEX(EQUIPES!$D$2:$D$300,MATCH($G99,EQUIPES!$C$2:$C$300,0))),""))</f>
        <v/>
      </c>
      <c r="L99" s="8" t="str">
        <f xml:space="preserve">IF($G99="","",IFERROR(IF(INDEX(EQUIPES!$E$2:$E$300,MATCH($G99,EQUIPES!$C$2:$C$300,0))="","",INDEX(EQUIPES!$E$2:$E$300,MATCH($G99,EQUIPES!$C$2:$C$300,0))),""))</f>
        <v/>
      </c>
      <c r="M99" s="6" t="str">
        <f t="shared" si="1"/>
        <v/>
      </c>
      <c r="N99" s="6" t="str">
        <f xml:space="preserve">IF($G99="","",COUNTIFS(PESSOAS!$J$2:$J$600,$A99,PESSOAS!$C$2:$C$600,$G99,PESSOAS!$D$2:$D$600,"?*"))</f>
        <v/>
      </c>
      <c r="O99" s="4"/>
      <c r="P99" s="7"/>
      <c r="Q99" s="4"/>
    </row>
    <row r="100" ht="24" customHeight="1" spans="1:17">
      <c r="A100" s="4"/>
      <c r="B100" s="4"/>
      <c r="C100" s="4"/>
      <c r="D100" s="4"/>
      <c r="E100" s="4"/>
      <c r="F100" s="5" t="s">
        <v>31</v>
      </c>
      <c r="G100" s="4"/>
      <c r="H100" s="6" t="str">
        <f xml:space="preserve">IF($G100="","",IFERROR(INDEX(EQUIPES!$B$2:$B$300,MATCH($G100,EQUIPES!$C$2:$C$300,0))&amp;"",""))</f>
        <v/>
      </c>
      <c r="I100" s="7"/>
      <c r="J100" s="7"/>
      <c r="K100" s="8" t="str">
        <f xml:space="preserve">IF($G100="","",IFERROR(IF(INDEX(EQUIPES!$D$2:$D$300,MATCH($G100,EQUIPES!$C$2:$C$300,0))="","",INDEX(EQUIPES!$D$2:$D$300,MATCH($G100,EQUIPES!$C$2:$C$300,0))),""))</f>
        <v/>
      </c>
      <c r="L100" s="8" t="str">
        <f xml:space="preserve">IF($G100="","",IFERROR(IF(INDEX(EQUIPES!$E$2:$E$300,MATCH($G100,EQUIPES!$C$2:$C$300,0))="","",INDEX(EQUIPES!$E$2:$E$300,MATCH($G100,EQUIPES!$C$2:$C$300,0))),""))</f>
        <v/>
      </c>
      <c r="M100" s="6" t="str">
        <f t="shared" si="1"/>
        <v/>
      </c>
      <c r="N100" s="6" t="str">
        <f xml:space="preserve">IF($G100="","",COUNTIFS(PESSOAS!$J$2:$J$600,$A100,PESSOAS!$C$2:$C$600,$G100,PESSOAS!$D$2:$D$600,"?*"))</f>
        <v/>
      </c>
      <c r="O100" s="4"/>
      <c r="P100" s="7"/>
      <c r="Q100" s="4"/>
    </row>
    <row r="101" ht="24" customHeight="1" spans="1:17">
      <c r="A101" s="4"/>
      <c r="B101" s="4"/>
      <c r="C101" s="4"/>
      <c r="D101" s="4"/>
      <c r="E101" s="4"/>
      <c r="F101" s="5" t="s">
        <v>31</v>
      </c>
      <c r="G101" s="4"/>
      <c r="H101" s="6" t="str">
        <f xml:space="preserve">IF($G101="","",IFERROR(INDEX(EQUIPES!$B$2:$B$300,MATCH($G101,EQUIPES!$C$2:$C$300,0))&amp;"",""))</f>
        <v/>
      </c>
      <c r="I101" s="7"/>
      <c r="J101" s="7"/>
      <c r="K101" s="8" t="str">
        <f xml:space="preserve">IF($G101="","",IFERROR(IF(INDEX(EQUIPES!$D$2:$D$300,MATCH($G101,EQUIPES!$C$2:$C$300,0))="","",INDEX(EQUIPES!$D$2:$D$300,MATCH($G101,EQUIPES!$C$2:$C$300,0))),""))</f>
        <v/>
      </c>
      <c r="L101" s="8" t="str">
        <f xml:space="preserve">IF($G101="","",IFERROR(IF(INDEX(EQUIPES!$E$2:$E$300,MATCH($G101,EQUIPES!$C$2:$C$300,0))="","",INDEX(EQUIPES!$E$2:$E$300,MATCH($G101,EQUIPES!$C$2:$C$300,0))),""))</f>
        <v/>
      </c>
      <c r="M101" s="6" t="str">
        <f t="shared" si="1"/>
        <v/>
      </c>
      <c r="N101" s="6" t="str">
        <f xml:space="preserve">IF($G101="","",COUNTIFS(PESSOAS!$J$2:$J$600,$A101,PESSOAS!$C$2:$C$600,$G101,PESSOAS!$D$2:$D$600,"?*"))</f>
        <v/>
      </c>
      <c r="O101" s="4"/>
      <c r="P101" s="7"/>
      <c r="Q101" s="4"/>
    </row>
  </sheetData>
  <autoFilter xmlns:etc="http://www.wps.cn/officeDocument/2017/etCustomData" ref="A1:Q101" etc:filterBottomFollowUsedRange="0">
    <extLst/>
  </autoFilter>
  <conditionalFormatting sqref="M2:M101">
    <cfRule type="expression" dxfId="2" priority="1">
      <formula>M2="Confere com a equipe"</formula>
    </cfRule>
    <cfRule type="expression" dxfId="3" priority="2">
      <formula>OR(M2="Equipe sem datas",M2="Preencher as datas da viatura",M2="")</formula>
    </cfRule>
    <cfRule type="expression" dxfId="0" priority="3">
      <formula>AND(M2&lt;&gt;"",M2&lt;&gt;"Confere com a equipe",M2&lt;&gt;"Equipe sem datas",M2&lt;&gt;"Preencher as datas da viatura")</formula>
    </cfRule>
  </conditionalFormatting>
  <dataValidations count="4">
    <dataValidation type="list" allowBlank="1" showInputMessage="1" showErrorMessage="1" errorTitle="Status da viatura" error="Este valor não está na lista. Pode manter se for o que quer escrever." promptTitle="Status da viatura" prompt="Prevista = ainda não chegou (a que vai substituir outra)." sqref="E2:E121" errorStyle="warning">
      <formula1>"Em operação,Disponível,Em manutenção,Parado,Devolvido,Prevista"</formula1>
    </dataValidation>
    <dataValidation type="list" allowBlank="1" showInputMessage="1" showErrorMessage="1" errorTitle="Equipe" error="Este valor não está na lista. Pode manter se for o que quer escrever." promptTitle="Equipe" prompt="Escolha a equipe que usa a viatura. Uma linha por viatura e equipe." sqref="G2:G121" errorStyle="warning">
      <formula1>EQUIPES!$C$2:$C$300</formula1>
    </dataValidation>
    <dataValidation type="list" allowBlank="1" showErrorMessage="1" errorTitle="Troca" error="Este valor não está na lista. Pode manter se for o que quer escrever." promptTitle="Troca" sqref="O2:O121" errorStyle="warning">
      <formula1>VIATURAS!$A$2:$A$300</formula1>
    </dataValidation>
    <dataValidation type="date" operator="greaterThan" allowBlank="1" showErrorMessage="1" errorTitle="Data" error="Digite a data como dd/mm/aaaa." sqref="P2:P121 I2:J121">
      <formula1>36526</formula1>
    </dataValidation>
  </dataValidations>
  <pageMargins left="0.4" right="0.4" top="1" bottom="1" header="0.5" footer="0.5"/>
  <pageSetup paperSize="9" fitToHeight="0" orientation="landscape"/>
  <headerFooter>
    <oddFooter>&amp;L&amp;8 Grupo Consominas · Equipes de campo&amp;R&amp;8 Página &amp;P de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LEIA-ME</vt:lpstr>
      <vt:lpstr>EQUIPES</vt:lpstr>
      <vt:lpstr>PESSOAS</vt:lpstr>
      <vt:lpstr>MOVIMENTAÇÕES</vt:lpstr>
      <vt:lpstr>VIATURAS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Consominas Chat GPT</cp:lastModifiedBy>
  <dcterms:created xsi:type="dcterms:W3CDTF">2026-10-16T12:39:00Z</dcterms:created>
  <dcterms:modified xsi:type="dcterms:W3CDTF">2026-10-16T12:40:25Z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69FF786D95494C56937D60E819417C89_12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